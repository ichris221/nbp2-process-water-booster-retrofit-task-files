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35cd917d5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datory_Constraints" sheetId="1" r:id="R828c90b1612543e1"/>
    <x:sheet xmlns:r="http://schemas.openxmlformats.org/officeDocument/2006/relationships" name="Tariff_and_Run_Hours" sheetId="2" r:id="R38f17a79a2614257"/>
    <x:sheet xmlns:r="http://schemas.openxmlformats.org/officeDocument/2006/relationships" name="Retrofit_Quotes" sheetId="3" r:id="R7175566ca9714da8"/>
    <x:sheet xmlns:r="http://schemas.openxmlformats.org/officeDocument/2006/relationships" name="Legacy_Bid_Brief" sheetId="4" r:id="R99bc0922a11c4c1e"/>
    <x:sheet xmlns:r="http://schemas.openxmlformats.org/officeDocument/2006/relationships" name="Quote_Open_Items" sheetId="5" r:id="Rae8842990565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£#,##0"/>
    <x:numFmt numFmtId="203" formatCode="0.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d91a3295e48ae" /><Relationship Type="http://schemas.openxmlformats.org/officeDocument/2006/relationships/theme" Target="/xl/theme/theme1.xml" Id="R5c1b51e2383445d5" /><Relationship Type="http://schemas.openxmlformats.org/officeDocument/2006/relationships/sharedStrings" Target="/xl/sharedStrings.xml" Id="Rabbc27168ece4dfe" /><Relationship Type="http://schemas.openxmlformats.org/officeDocument/2006/relationships/worksheet" Target="/xl/worksheets/sheet1.xml" Id="R828c90b1612543e1" /><Relationship Type="http://schemas.openxmlformats.org/officeDocument/2006/relationships/worksheet" Target="/xl/worksheets/sheet2.xml" Id="R38f17a79a2614257" /><Relationship Type="http://schemas.openxmlformats.org/officeDocument/2006/relationships/worksheet" Target="/xl/worksheets/sheet3.xml" Id="R7175566ca9714da8" /><Relationship Type="http://schemas.openxmlformats.org/officeDocument/2006/relationships/worksheet" Target="/xl/worksheets/sheet4.xml" Id="R99bc0922a11c4c1e" /><Relationship Type="http://schemas.openxmlformats.org/officeDocument/2006/relationships/worksheet" Target="/xl/worksheets/sheet5.xml" Id="Rae88429905654a5c" /></Relationships>
</file>

<file path=xl/tables/table1.xml><?xml version="1.0" encoding="utf-8"?>
<x:table xmlns:x="http://schemas.openxmlformats.org/spreadsheetml/2006/main" id="1" name="MandatoryConstraints" displayName="MandatoryConstraints" ref="A4:E14" headerRowCount="1">
  <x:tableColumns count="5">
    <x:tableColumn id="1" name="Constraint ID"/>
    <x:tableColumn id="2" name="Constraint"/>
    <x:tableColumn id="3" name="Approved value / rule"/>
    <x:tableColumn id="4" name="Authority reference"/>
    <x:tableColumn id="5" name="Assessment implication"/>
  </x:tableColumns>
  <x:tableStyleInfo name="TableStyleMedium2" showRowStripes="1"/>
</x:table>
</file>

<file path=xl/tables/table2.xml><?xml version="1.0" encoding="utf-8"?>
<x:table xmlns:x="http://schemas.openxmlformats.org/spreadsheetml/2006/main" id="2" name="TariffRunHours" displayName="TariffRunHours" ref="A4:I9" headerRowCount="1">
  <x:tableColumns count="9">
    <x:tableColumn id="1" name="Record"/>
    <x:tableColumn id="2" name="Status"/>
    <x:tableColumn id="3" name="Effective date"/>
    <x:tableColumn id="4" name="Electricity_tariff_GBP_per_kWh"/>
    <x:tableColumn id="5" name="Operating_state"/>
    <x:tableColumn id="6" name="Annual_hours"/>
    <x:tableColumn id="7" name="Baseline_input_kW"/>
    <x:tableColumn id="8" name="Annual_kWh"/>
    <x:tableColumn id="9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RetrofitQuotes" displayName="RetrofitQuotes" ref="A4:I8" headerRowCount="1">
  <x:tableColumns count="9">
    <x:tableColumn id="1" name="Option"/>
    <x:tableColumn id="2" name="Scope summary"/>
    <x:tableColumn id="3" name="Quoted_capex_GBP"/>
    <x:tableColumn id="4" name="Quoted_storage_gross_m3"/>
    <x:tableColumn id="5" name="Claimed_annual_kWh"/>
    <x:tableColumn id="6" name="Pump curve record"/>
    <x:tableColumn id="7" name="Controls scope"/>
    <x:tableColumn id="8" name="Known exception / incomplete evidence"/>
    <x:tableColumn id="9" name="Commercial status"/>
  </x:tableColumns>
  <x:tableStyleInfo name="TableStyleMedium2" showRowStripes="1"/>
</x:table>
</file>

<file path=xl/tables/table4.xml><?xml version="1.0" encoding="utf-8"?>
<x:table xmlns:x="http://schemas.openxmlformats.org/spreadsheetml/2006/main" id="4" name="LegacyBidBrief" displayName="LegacyBidBrief" ref="A4:D9" headerRowCount="1">
  <x:tableColumns count="4">
    <x:tableColumn id="1" name="Legacy item"/>
    <x:tableColumn id="2" name="Legacy claim"/>
    <x:tableColumn id="3" name="Why not controlling"/>
    <x:tableColumn id="4" name="Controlling source"/>
  </x:tableColumns>
  <x:tableStyleInfo name="TableStyleMedium2" showRowStripes="1"/>
</x:table>
</file>

<file path=xl/tables/table5.xml><?xml version="1.0" encoding="utf-8"?>
<x:table xmlns:x="http://schemas.openxmlformats.org/spreadsheetml/2006/main" id="5" name="QuoteOpenItems" displayName="QuoteOpenItems" ref="A4:H10" headerRowCount="1">
  <x:tableColumns count="8">
    <x:tableColumn id="1" name="Open item ID"/>
    <x:tableColumn id="2" name="Affected option"/>
    <x:tableColumn id="3" name="Category"/>
    <x:tableColumn id="4" name="Missing evidence"/>
    <x:tableColumn id="5" name="Why it matters"/>
    <x:tableColumn id="6" name="Required owner"/>
    <x:tableColumn id="7" name="Decision gat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5d8cab599146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1d6b9f05934f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8a9b8c1f0348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a0ad23754f46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e90e1921d043d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48" hidden="0" customWidth="1"/>
    <x:col min="4" max="4" width="42" hidden="0" customWidth="1"/>
    <x:col min="5" max="5" width="60" hidden="0" customWidth="1"/>
  </x:cols>
  <x:sheetData>
    <x:row r="1" ht="24" customHeight="1">
      <x:c r="A1" s="5" t="str">
        <x:v>NBP2 Retrofit Quotes and Mandatory Constraints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Signed constraints control screening. Legacy bid-brief values remain in a separate sheet and must not be used.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Constraint ID</x:v>
      </x:c>
      <x:c r="B4" s="18" t="str">
        <x:v>Constraint</x:v>
      </x:c>
      <x:c r="C4" s="18" t="str">
        <x:v>Approved value / rule</x:v>
      </x:c>
      <x:c r="D4" s="18" t="str">
        <x:v>Authority reference</x:v>
      </x:c>
      <x:c r="E4" s="18" t="str">
        <x:v>Assessment implication</x:v>
      </x:c>
    </x:row>
    <x:row r="5">
      <x:c r="A5" s="24" t="str">
        <x:v>REQ-PRESS-01</x:v>
      </x:c>
      <x:c r="B5" s="24" t="str">
        <x:v>Minimum pressure at packaging-hall PT-404 location during approved peak event</x:v>
      </x:c>
      <x:c r="C5" s="24" t="str">
        <x:v>&gt;= 3.00 barg corrected pressure</x:v>
      </x:c>
      <x:c r="D5" s="24" t="str">
        <x:v>OPS-ACC-2026-04 signed production acceptance</x:v>
      </x:c>
      <x:c r="E5" s="24" t="str">
        <x:v>Apply PT-404 correction before checking compliance.</x:v>
      </x:c>
    </x:row>
    <x:row r="6">
      <x:c r="A6" s="24" t="str">
        <x:v>REQ-FLOW-01</x:v>
      </x:c>
      <x:c r="B6" s="24" t="str">
        <x:v>Peak packaging-hall demand event duration</x:v>
      </x:c>
      <x:c r="C6" s="24" t="str">
        <x:v>90 seconds</x:v>
      </x:c>
      <x:c r="D6" s="24" t="str">
        <x:v>OPS-ACC-2026-04 signed production acceptance</x:v>
      </x:c>
      <x:c r="E6" s="24" t="str">
        <x:v>Use for storage drawdown calculation.</x:v>
      </x:c>
    </x:row>
    <x:row r="7">
      <x:c r="A7" s="24" t="str">
        <x:v>REQ-NPSH-01</x:v>
      </x:c>
      <x:c r="B7" s="24" t="str">
        <x:v>Required NPSH margin</x:v>
      </x:c>
      <x:c r="C7" s="24" t="str">
        <x:v>NPSHa &gt;= NPSHr + 1.00 m</x:v>
      </x:c>
      <x:c r="D7" s="24" t="str">
        <x:v>ENG-STD-PUMP-07</x:v>
      </x:c>
      <x:c r="E7" s="24" t="str">
        <x:v>Use approved curve revision and governing temperature / tank level.</x:v>
      </x:c>
    </x:row>
    <x:row r="8">
      <x:c r="A8" s="24" t="str">
        <x:v>REQ-TEMP-01</x:v>
      </x:c>
      <x:c r="B8" s="24" t="str">
        <x:v>Maximum water temperature for cavitation review</x:v>
      </x:c>
      <x:c r="C8" s="24" t="str">
        <x:v>32.0 degC</x:v>
      </x:c>
      <x:c r="D8" s="24" t="str">
        <x:v>INC-2026-0514 signed incident review</x:v>
      </x:c>
      <x:c r="E8" s="24" t="str">
        <x:v>Obtain vapour pressure from an official public source.</x:v>
      </x:c>
    </x:row>
    <x:row r="9">
      <x:c r="A9" s="24" t="str">
        <x:v>REQ-ELEV-01</x:v>
      </x:c>
      <x:c r="B9" s="24" t="str">
        <x:v>Site elevation for atmospheric-pressure estimate</x:v>
      </x:c>
      <x:c r="C9" s="24" t="str">
        <x:v>165 m above mean sea level</x:v>
      </x:c>
      <x:c r="D9" s="24" t="str">
        <x:v>SITE-SURVEY-NBP2-2019</x:v>
      </x:c>
      <x:c r="E9" s="24" t="str">
        <x:v>Obtain atmospheric pressure from an official public source.</x:v>
      </x:c>
    </x:row>
    <x:row r="10">
      <x:c r="A10" s="24" t="str">
        <x:v>REQ-TANK-01</x:v>
      </x:c>
      <x:c r="B10" s="24" t="str">
        <x:v>Source tank low-low liquid surface relative to pump centreline</x:v>
      </x:c>
      <x:c r="C10" s="24" t="str">
        <x:v>-2.20 m</x:v>
      </x:c>
      <x:c r="D10" s="24" t="str">
        <x:v>SITE-SURVEY-NBP2-2019 and LT-201 calibration</x:v>
      </x:c>
      <x:c r="E10" s="24" t="str">
        <x:v>Use in NPSHa calculation.</x:v>
      </x:c>
    </x:row>
    <x:row r="11">
      <x:c r="A11" s="24" t="str">
        <x:v>REQ-STORE-01</x:v>
      </x:c>
      <x:c r="B11" s="24" t="str">
        <x:v>Hydropneumatic storage basis</x:v>
      </x:c>
      <x:c r="C11" s="24" t="str">
        <x:v>Support 60 m3/h flow imbalance for 90 s; precharge 2.80 barg; cut-in 3.00 barg; cut-out 3.80 barg</x:v>
      </x:c>
      <x:c r="D11" s="24" t="str">
        <x:v>CTRL-BASIS-2026-03 signed</x:v>
      </x:c>
      <x:c r="E11" s="24" t="str">
        <x:v>Calculate required gross tank volume from usable drawdown.</x:v>
      </x:c>
    </x:row>
    <x:row r="12">
      <x:c r="A12" s="24" t="str">
        <x:v>REQ-CAPEX-01</x:v>
      </x:c>
      <x:c r="B12" s="24" t="str">
        <x:v>Maximum approved capital expenditure</x:v>
      </x:c>
      <x:c r="C12" s="24" t="str">
        <x:v>GBP 190,000 excluding recoverable VAT</x:v>
      </x:c>
      <x:c r="D12" s="24" t="str">
        <x:v>CAPEX-APP-2026-02 signed</x:v>
      </x:c>
      <x:c r="E12" s="24" t="str">
        <x:v>Reject options exceeding cap.</x:v>
      </x:c>
    </x:row>
    <x:row r="13">
      <x:c r="A13" s="24" t="str">
        <x:v>REQ-PB-01</x:v>
      </x:c>
      <x:c r="B13" s="24" t="str">
        <x:v>Maximum simple payback for a technically compliant option</x:v>
      </x:c>
      <x:c r="C13" s="24" t="str">
        <x:v>8.0 years</x:v>
      </x:c>
      <x:c r="D13" s="24" t="str">
        <x:v>CAPEX-APP-2026-02 signed</x:v>
      </x:c>
      <x:c r="E13" s="24" t="str">
        <x:v>Do not calculate a recommendation from payback alone.</x:v>
      </x:c>
    </x:row>
    <x:row r="14">
      <x:c r="A14" s="24" t="str">
        <x:v>REQ-AVAIL-01</x:v>
      </x:c>
      <x:c r="B14" s="24" t="str">
        <x:v>Equipment availability</x:v>
      </x:c>
      <x:c r="C14" s="24" t="str">
        <x:v>Active safety lockout and open work orders override draft availability notes</x:v>
      </x:c>
      <x:c r="D14" s="24" t="str">
        <x:v>Site safety procedure LOTO-04</x:v>
      </x:c>
      <x:c r="E14" s="24" t="str">
        <x:v>Do not assume locked-out equipment is usable.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b5d8cab599146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2" hidden="0" customWidth="1"/>
    <x:col min="5" max="5" width="30" hidden="0" customWidth="1"/>
    <x:col min="6" max="6" width="16" hidden="0" customWidth="1"/>
    <x:col min="7" max="7" width="18" hidden="0" customWidth="1"/>
    <x:col min="8" max="8" width="18" hidden="0" customWidth="1"/>
    <x:col min="9" max="9" width="46" hidden="0" customWidth="1"/>
  </x:cols>
  <x:sheetData>
    <x:row r="1" ht="24" customHeight="1">
      <x:c r="A1" s="5" t="str">
        <x:v>Tariff and Baseline Run-Hour Basis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Use the signed tariff. The budget-estimate tariff is retained as conflicting evidence.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Record</x:v>
      </x:c>
      <x:c r="B4" s="18" t="str">
        <x:v>Status</x:v>
      </x:c>
      <x:c r="C4" s="18" t="str">
        <x:v>Effective date</x:v>
      </x:c>
      <x:c r="D4" s="18" t="str">
        <x:v>Electricity_tariff_GBP_per_kWh</x:v>
      </x:c>
      <x:c r="E4" s="18" t="str">
        <x:v>Operating_state</x:v>
      </x:c>
      <x:c r="F4" s="18" t="str">
        <x:v>Annual_hours</x:v>
      </x:c>
      <x:c r="G4" s="18" t="str">
        <x:v>Baseline_input_kW</x:v>
      </x:c>
      <x:c r="H4" s="18" t="str">
        <x:v>Annual_kWh</x:v>
      </x:c>
      <x:c r="I4" s="18" t="str">
        <x:v>Comment</x:v>
      </x:c>
    </x:row>
    <x:row r="5">
      <x:c r="A5" s="24" t="str">
        <x:v>ENERGY-SUPPLY-2026-04</x:v>
      </x:c>
      <x:c r="B5" s="24" t="str">
        <x:v>SIGNED TARIFF</x:v>
      </x:c>
      <x:c r="C5" s="24" t="str">
        <x:v>2026-04-01</x:v>
      </x:c>
      <x:c r="D5" s="26" t="n">
        <x:v>0.176</x:v>
      </x:c>
      <x:c r="E5" s="24" t="str">
        <x:v>non-production circulation</x:v>
      </x:c>
      <x:c r="F5" s="24" t="n">
        <x:v>1800</x:v>
      </x:c>
      <x:c r="G5" s="24" t="n">
        <x:v>30</x:v>
      </x:c>
      <x:c r="H5" s="28" t="n">
        <x:f>F5*G5</x:f>
        <x:v>54000</x:v>
      </x:c>
      <x:c r="I5" s="24" t="str">
        <x:v>Signed supply schedule.</x:v>
      </x:c>
    </x:row>
    <x:row r="6">
      <x:c r="A6" s="24" t="str">
        <x:v>ENERGY-SUPPLY-2026-04</x:v>
      </x:c>
      <x:c r="B6" s="24" t="str">
        <x:v>SIGNED TARIFF</x:v>
      </x:c>
      <x:c r="C6" s="24" t="str">
        <x:v>2026-04-01</x:v>
      </x:c>
      <x:c r="D6" s="26" t="n">
        <x:v>0.176</x:v>
      </x:c>
      <x:c r="E6" s="24" t="str">
        <x:v>normal production</x:v>
      </x:c>
      <x:c r="F6" s="24" t="n">
        <x:v>4200</x:v>
      </x:c>
      <x:c r="G6" s="24" t="n">
        <x:v>88</x:v>
      </x:c>
      <x:c r="H6" s="28" t="n">
        <x:f>F6*G6</x:f>
        <x:v>369600</x:v>
      </x:c>
      <x:c r="I6" s="24" t="str">
        <x:v>Corrected operating profile basis.</x:v>
      </x:c>
    </x:row>
    <x:row r="7">
      <x:c r="A7" s="24" t="str">
        <x:v>ENERGY-SUPPLY-2026-04</x:v>
      </x:c>
      <x:c r="B7" s="24" t="str">
        <x:v>SIGNED TARIFF</x:v>
      </x:c>
      <x:c r="C7" s="24" t="str">
        <x:v>2026-04-01</x:v>
      </x:c>
      <x:c r="D7" s="26" t="n">
        <x:v>0.176</x:v>
      </x:c>
      <x:c r="E7" s="24" t="str">
        <x:v>CIP washdown</x:v>
      </x:c>
      <x:c r="F7" s="24" t="n">
        <x:v>700</x:v>
      </x:c>
      <x:c r="G7" s="24" t="n">
        <x:v>112</x:v>
      </x:c>
      <x:c r="H7" s="28" t="n">
        <x:f>F7*G7</x:f>
        <x:v>78400</x:v>
      </x:c>
      <x:c r="I7" s="24" t="str">
        <x:v>Corrected operating profile basis.</x:v>
      </x:c>
    </x:row>
    <x:row r="8">
      <x:c r="A8" s="24" t="str">
        <x:v>ENERGY-SUPPLY-2026-04</x:v>
      </x:c>
      <x:c r="B8" s="24" t="str">
        <x:v>SIGNED TARIFF</x:v>
      </x:c>
      <x:c r="C8" s="24" t="str">
        <x:v>2026-04-01</x:v>
      </x:c>
      <x:c r="D8" s="26" t="n">
        <x:v>0.176</x:v>
      </x:c>
      <x:c r="E8" s="24" t="str">
        <x:v>packaging peak equivalent</x:v>
      </x:c>
      <x:c r="F8" s="24" t="n">
        <x:v>150</x:v>
      </x:c>
      <x:c r="G8" s="24" t="n">
        <x:v>128</x:v>
      </x:c>
      <x:c r="H8" s="28" t="n">
        <x:f>F8*G8</x:f>
        <x:v>19200</x:v>
      </x:c>
      <x:c r="I8" s="24" t="str">
        <x:v>Equivalent annual event hours.</x:v>
      </x:c>
    </x:row>
    <x:row r="9">
      <x:c r="A9" s="30" t="str">
        <x:v>BUDGET-EST-2025-11</x:v>
      </x:c>
      <x:c r="B9" s="30" t="str">
        <x:v>SUPERSEDED ESTIMATE</x:v>
      </x:c>
      <x:c r="C9" s="30" t="str">
        <x:v>2025-11-01</x:v>
      </x:c>
      <x:c r="D9" s="31" t="n">
        <x:v>0.148</x:v>
      </x:c>
      <x:c r="E9" s="30" t="str">
        <x:v>all states</x:v>
      </x:c>
      <x:c r="F9" s="30" t="str"/>
      <x:c r="G9" s="30" t="str"/>
      <x:c r="H9" s="30" t="str"/>
      <x:c r="I9" s="30" t="str">
        <x:v>Do not use for final cost assessment.</x:v>
      </x:c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1d6b9f05934f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  <x:col min="3" max="3" width="20" hidden="0" customWidth="1"/>
    <x:col min="4" max="4" width="24" hidden="0" customWidth="1"/>
    <x:col min="5" max="5" width="22" hidden="0" customWidth="1"/>
    <x:col min="6" max="6" width="22" hidden="0" customWidth="1"/>
    <x:col min="7" max="7" width="34" hidden="0" customWidth="1"/>
    <x:col min="8" max="8" width="74" hidden="0" customWidth="1"/>
    <x:col min="9" max="9" width="20" hidden="0" customWidth="1"/>
  </x:cols>
  <x:sheetData>
    <x:row r="1" ht="24" customHeight="1">
      <x:c r="A1" s="5" t="str">
        <x:v>Retrofit Option Quotes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Screen each option against all mandatory constraints and unresolved evidence.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Option</x:v>
      </x:c>
      <x:c r="B4" s="18" t="str">
        <x:v>Scope summary</x:v>
      </x:c>
      <x:c r="C4" s="18" t="str">
        <x:v>Quoted_capex_GBP</x:v>
      </x:c>
      <x:c r="D4" s="18" t="str">
        <x:v>Quoted_storage_gross_m3</x:v>
      </x:c>
      <x:c r="E4" s="18" t="str">
        <x:v>Claimed_annual_kWh</x:v>
      </x:c>
      <x:c r="F4" s="18" t="str">
        <x:v>Pump curve record</x:v>
      </x:c>
      <x:c r="G4" s="18" t="str">
        <x:v>Controls scope</x:v>
      </x:c>
      <x:c r="H4" s="18" t="str">
        <x:v>Known exception / incomplete evidence</x:v>
      </x:c>
      <x:c r="I4" s="18" t="str">
        <x:v>Commercial status</x:v>
      </x:c>
    </x:row>
    <x:row r="5">
      <x:c r="A5" s="24" t="str">
        <x:v>Option A</x:v>
      </x:c>
      <x:c r="B5" s="24" t="str">
        <x:v>Trim-pump impeller upgrade, minor controls tuning, 4 m3 vessel</x:v>
      </x:c>
      <x:c r="C5" s="37" t="n">
        <x:v>78000</x:v>
      </x:c>
      <x:c r="D5" s="39" t="n">
        <x:v>4</x:v>
      </x:c>
      <x:c r="E5" s="28" t="n">
        <x:v>450000</x:v>
      </x:c>
      <x:c r="F5" s="24" t="str">
        <x:v>PC-OPT-A-REV-C</x:v>
      </x:c>
      <x:c r="G5" s="24" t="str">
        <x:v>Reuse existing controls</x:v>
      </x:c>
      <x:c r="H5" s="24" t="str">
        <x:v>No suction-side improvement; quoted vessel acceptance calculation not supplied.</x:v>
      </x:c>
      <x:c r="I5" s="24" t="str">
        <x:v>BUDGETARY QUOTE</x:v>
      </x:c>
    </x:row>
    <x:row r="6">
      <x:c r="A6" s="24" t="str">
        <x:v>Option B</x:v>
      </x:c>
      <x:c r="B6" s="24" t="str">
        <x:v>Replace trim pump, install 90 kW VFD, add 12 m3 vessel, update sequencing</x:v>
      </x:c>
      <x:c r="C6" s="37" t="n">
        <x:v>165000</x:v>
      </x:c>
      <x:c r="D6" s="39" t="n">
        <x:v>12</x:v>
      </x:c>
      <x:c r="E6" s="28" t="n">
        <x:v>395000</x:v>
      </x:c>
      <x:c r="F6" s="24" t="str">
        <x:v>PC-OPT-B-REV-C</x:v>
      </x:c>
      <x:c r="G6" s="24" t="str">
        <x:v>New VFD and sequence update</x:v>
      </x:c>
      <x:c r="H6" s="24" t="str">
        <x:v>Foundation reactions, harmonic study, feeder protection review, and PLC compatibility test remain open.</x:v>
      </x:c>
      <x:c r="I6" s="24" t="str">
        <x:v>BUDGETARY QUOTE</x:v>
      </x:c>
    </x:row>
    <x:row r="7">
      <x:c r="A7" s="24" t="str">
        <x:v>Option C</x:v>
      </x:c>
      <x:c r="B7" s="24" t="str">
        <x:v>Repair and recommission P-103, add 15 m3 vessel, retain existing trim pump</x:v>
      </x:c>
      <x:c r="C7" s="37" t="n">
        <x:v>142000</x:v>
      </x:c>
      <x:c r="D7" s="39" t="n">
        <x:v>15</x:v>
      </x:c>
      <x:c r="E7" s="28" t="n">
        <x:v>410000</x:v>
      </x:c>
      <x:c r="F7" s="24" t="str">
        <x:v>PC-OPT-C-REV-C</x:v>
      </x:c>
      <x:c r="G7" s="24" t="str">
        <x:v>Minor controls modification</x:v>
      </x:c>
      <x:c r="H7" s="24" t="str">
        <x:v>Quote assumes P-103 is available, but active LOTO and open repair work order remain in force.</x:v>
      </x:c>
      <x:c r="I7" s="24" t="str">
        <x:v>BUDGETARY QUOTE</x:v>
      </x:c>
    </x:row>
    <x:row r="8">
      <x:c r="A8" s="24" t="str">
        <x:v>Option D</x:v>
      </x:c>
      <x:c r="B8" s="24" t="str">
        <x:v>Packaged duty/standby booster set, integrated controls, 18 m3 vessel</x:v>
      </x:c>
      <x:c r="C8" s="37" t="n">
        <x:v>205000</x:v>
      </x:c>
      <x:c r="D8" s="39" t="n">
        <x:v>18</x:v>
      </x:c>
      <x:c r="E8" s="28" t="n">
        <x:v>370000</x:v>
      </x:c>
      <x:c r="F8" s="24" t="str">
        <x:v>PC-OPT-D-REV-C</x:v>
      </x:c>
      <x:c r="G8" s="24" t="str">
        <x:v>Integrated packaged controls</x:v>
      </x:c>
      <x:c r="H8" s="24" t="str">
        <x:v>General arrangement drawing and access review not supplied. Quote exceeds approved capex ceiling.</x:v>
      </x:c>
      <x:c r="I8" s="24" t="str">
        <x:v>BUDGETARY QUOTE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8a9b8c1f0348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6" hidden="0" customWidth="1"/>
    <x:col min="3" max="3" width="66" hidden="0" customWidth="1"/>
    <x:col min="4" max="4" width="54" hidden="0" customWidth="1"/>
  </x:cols>
  <x:sheetData>
    <x:row r="1" ht="24" customHeight="1">
      <x:c r="A1" s="5" t="str">
        <x:v>Legacy Bid Brief - Superseded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These values deliberately conflict with signed constraints. They must not control the final decision.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Legacy item</x:v>
      </x:c>
      <x:c r="B4" s="18" t="str">
        <x:v>Legacy claim</x:v>
      </x:c>
      <x:c r="C4" s="18" t="str">
        <x:v>Why not controlling</x:v>
      </x:c>
      <x:c r="D4" s="18" t="str">
        <x:v>Controlling source</x:v>
      </x:c>
    </x:row>
    <x:row r="5">
      <x:c r="A5" s="30" t="str">
        <x:v>Packaging-hall minimum pressure</x:v>
      </x:c>
      <x:c r="B5" s="30" t="str">
        <x:v>2.60 barg is acceptable during short peaks.</x:v>
      </x:c>
      <x:c r="C5" s="30" t="str">
        <x:v>Production acceptance criteria were revised after packaging-line expansion.</x:v>
      </x:c>
      <x:c r="D5" s="30" t="str">
        <x:v>OPS-ACC-2026-04: &gt;= 3.00 barg corrected.</x:v>
      </x:c>
    </x:row>
    <x:row r="6">
      <x:c r="A6" s="30" t="str">
        <x:v>Peak duration</x:v>
      </x:c>
      <x:c r="B6" s="30" t="str">
        <x:v>60 seconds.</x:v>
      </x:c>
      <x:c r="C6" s="30" t="str">
        <x:v>Signed controls basis requires 90 seconds.</x:v>
      </x:c>
      <x:c r="D6" s="30" t="str">
        <x:v>CTRL-BASIS-2026-03: 90 seconds.</x:v>
      </x:c>
    </x:row>
    <x:row r="7">
      <x:c r="A7" s="30" t="str">
        <x:v>Water temperature</x:v>
      </x:c>
      <x:c r="B7" s="30" t="str">
        <x:v>Use 20 degC design temperature for all hydraulic checks.</x:v>
      </x:c>
      <x:c r="C7" s="30" t="str">
        <x:v>Incident review documented 32 degC after CIP return.</x:v>
      </x:c>
      <x:c r="D7" s="30" t="str">
        <x:v>INC-2026-0514: 32 degC governing.</x:v>
      </x:c>
    </x:row>
    <x:row r="8">
      <x:c r="A8" s="30" t="str">
        <x:v>Electricity tariff</x:v>
      </x:c>
      <x:c r="B8" s="30" t="str">
        <x:v>Use GBP 0.148/kWh budget estimate.</x:v>
      </x:c>
      <x:c r="C8" s="30" t="str">
        <x:v>Superseded by signed 2026 supply schedule.</x:v>
      </x:c>
      <x:c r="D8" s="30" t="str">
        <x:v>ENERGY-SUPPLY-2026-04: GBP 0.176/kWh.</x:v>
      </x:c>
    </x:row>
    <x:row r="9">
      <x:c r="A9" s="30" t="str">
        <x:v>P-103 availability</x:v>
      </x:c>
      <x:c r="B9" s="30" t="str">
        <x:v>P-103 is expected back in service before award.</x:v>
      </x:c>
      <x:c r="C9" s="30" t="str">
        <x:v>Active lockout and open work order are controlling.</x:v>
      </x:c>
      <x:c r="D9" s="30" t="str">
        <x:v>LOTO-26-0518-P103 and WO-26-0520-P103.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5a0ad23754f46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2" hidden="0" customWidth="1"/>
    <x:col min="5" max="5" width="60" hidden="0" customWidth="1"/>
    <x:col min="6" max="6" width="26" hidden="0" customWidth="1"/>
    <x:col min="7" max="7" width="24" hidden="0" customWidth="1"/>
    <x:col min="8" max="8" width="14" hidden="0" customWidth="1"/>
  </x:cols>
  <x:sheetData>
    <x:row r="1" ht="24" customHeight="1">
      <x:c r="A1" s="5" t="str">
        <x:v>Quote Open Items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Incomplete evidence that must be recorded rather than assumed.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Open item ID</x:v>
      </x:c>
      <x:c r="B4" s="18" t="str">
        <x:v>Affected option</x:v>
      </x:c>
      <x:c r="C4" s="18" t="str">
        <x:v>Category</x:v>
      </x:c>
      <x:c r="D4" s="18" t="str">
        <x:v>Missing evidence</x:v>
      </x:c>
      <x:c r="E4" s="18" t="str">
        <x:v>Why it matters</x:v>
      </x:c>
      <x:c r="F4" s="18" t="str">
        <x:v>Required owner</x:v>
      </x:c>
      <x:c r="G4" s="18" t="str">
        <x:v>Decision gate</x:v>
      </x:c>
      <x:c r="H4" s="18" t="str">
        <x:v>Status</x:v>
      </x:c>
    </x:row>
    <x:row r="5">
      <x:c r="A5" s="41" t="str">
        <x:v>A-STORE-01</x:v>
      </x:c>
      <x:c r="B5" s="41" t="str">
        <x:v>Option A</x:v>
      </x:c>
      <x:c r="C5" s="41" t="str">
        <x:v>Storage</x:v>
      </x:c>
      <x:c r="D5" s="41" t="str">
        <x:v>Certified vessel acceptance / drawdown calculation</x:v>
      </x:c>
      <x:c r="E5" s="41" t="str">
        <x:v>Quoted gross volume may not provide required usable storage.</x:v>
      </x:c>
      <x:c r="F5" s="41" t="str">
        <x:v>Vendor</x:v>
      </x:c>
      <x:c r="G5" s="41" t="str">
        <x:v>Before technical acceptance</x:v>
      </x:c>
      <x:c r="H5" s="41" t="str">
        <x:v>OPEN</x:v>
      </x:c>
    </x:row>
    <x:row r="6">
      <x:c r="A6" s="41" t="str">
        <x:v>B-FOUND-01</x:v>
      </x:c>
      <x:c r="B6" s="41" t="str">
        <x:v>Option B</x:v>
      </x:c>
      <x:c r="C6" s="41" t="str">
        <x:v>Mechanical</x:v>
      </x:c>
      <x:c r="D6" s="41" t="str">
        <x:v>Final baseplate reactions and foundation check</x:v>
      </x:c>
      <x:c r="E6" s="41" t="str">
        <x:v>Foundation adequacy cannot be assumed.</x:v>
      </x:c>
      <x:c r="F6" s="41" t="str">
        <x:v>Mechanical Engineering</x:v>
      </x:c>
      <x:c r="G6" s="41" t="str">
        <x:v>Before PO release</x:v>
      </x:c>
      <x:c r="H6" s="41" t="str">
        <x:v>OPEN</x:v>
      </x:c>
    </x:row>
    <x:row r="7">
      <x:c r="A7" s="41" t="str">
        <x:v>B-ELEC-01</x:v>
      </x:c>
      <x:c r="B7" s="41" t="str">
        <x:v>Option B</x:v>
      </x:c>
      <x:c r="C7" s="41" t="str">
        <x:v>Electrical</x:v>
      </x:c>
      <x:c r="D7" s="41" t="str">
        <x:v>90 kW VFD harmonic, feeder, and protection study</x:v>
      </x:c>
      <x:c r="E7" s="41" t="str">
        <x:v>MCC and supply compatibility require confirmation.</x:v>
      </x:c>
      <x:c r="F7" s="41" t="str">
        <x:v>Electrical Engineering</x:v>
      </x:c>
      <x:c r="G7" s="41" t="str">
        <x:v>Before PO release</x:v>
      </x:c>
      <x:c r="H7" s="41" t="str">
        <x:v>OPEN</x:v>
      </x:c>
    </x:row>
    <x:row r="8">
      <x:c r="A8" s="41" t="str">
        <x:v>B-CTRL-01</x:v>
      </x:c>
      <x:c r="B8" s="41" t="str">
        <x:v>Option B</x:v>
      </x:c>
      <x:c r="C8" s="41" t="str">
        <x:v>Controls</x:v>
      </x:c>
      <x:c r="D8" s="41" t="str">
        <x:v>PLC sequence compatibility and FAT plan</x:v>
      </x:c>
      <x:c r="E8" s="41" t="str">
        <x:v>New sequencing must be validated before purchase.</x:v>
      </x:c>
      <x:c r="F8" s="41" t="str">
        <x:v>Controls Engineering</x:v>
      </x:c>
      <x:c r="G8" s="41" t="str">
        <x:v>Before PO release</x:v>
      </x:c>
      <x:c r="H8" s="41" t="str">
        <x:v>OPEN</x:v>
      </x:c>
    </x:row>
    <x:row r="9">
      <x:c r="A9" s="41" t="str">
        <x:v>C-LOTO-01</x:v>
      </x:c>
      <x:c r="B9" s="41" t="str">
        <x:v>Option C</x:v>
      </x:c>
      <x:c r="C9" s="41" t="str">
        <x:v>Maintenance</x:v>
      </x:c>
      <x:c r="D9" s="41" t="str">
        <x:v>Signed P-103 LOTO release and closed repair work order</x:v>
      </x:c>
      <x:c r="E9" s="41" t="str">
        <x:v>Option C depends on P-103 availability.</x:v>
      </x:c>
      <x:c r="F9" s="41" t="str">
        <x:v>Maintenance / HSE</x:v>
      </x:c>
      <x:c r="G9" s="41" t="str">
        <x:v>Before technical acceptance</x:v>
      </x:c>
      <x:c r="H9" s="41" t="str">
        <x:v>OPEN</x:v>
      </x:c>
    </x:row>
    <x:row r="10">
      <x:c r="A10" s="41" t="str">
        <x:v>D-LAYOUT-01</x:v>
      </x:c>
      <x:c r="B10" s="41" t="str">
        <x:v>Option D</x:v>
      </x:c>
      <x:c r="C10" s="41" t="str">
        <x:v>Layout</x:v>
      </x:c>
      <x:c r="D10" s="41" t="str">
        <x:v>General arrangement drawing and access-envelope review</x:v>
      </x:c>
      <x:c r="E10" s="41" t="str">
        <x:v>Packaged set fit and maintenance access are not demonstrated.</x:v>
      </x:c>
      <x:c r="F10" s="41" t="str">
        <x:v>Projects</x:v>
      </x:c>
      <x:c r="G10" s="41" t="str">
        <x:v>Before PO release</x:v>
      </x:c>
      <x:c r="H10" s="41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e90e1921d043da"/>
  </x:tableParts>
</x:worksheet>
</file>