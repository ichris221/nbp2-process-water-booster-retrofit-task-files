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1275976fb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Register" sheetId="1" r:id="Ra26b25a2ec2d400a"/>
    <x:sheet xmlns:r="http://schemas.openxmlformats.org/officeDocument/2006/relationships" name="VFD_Register" sheetId="2" r:id="R9182d8ad85a64da0"/>
    <x:sheet xmlns:r="http://schemas.openxmlformats.org/officeDocument/2006/relationships" name="Maintenance_Log" sheetId="3" r:id="R8fbae3fac2ab44a5"/>
    <x:sheet xmlns:r="http://schemas.openxmlformats.org/officeDocument/2006/relationships" name="PrePO_Electrical_Gaps" sheetId="4" r:id="R09e0add0c03e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1F1F1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3F8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708ffa82b437c" /><Relationship Type="http://schemas.openxmlformats.org/officeDocument/2006/relationships/theme" Target="/xl/theme/theme1.xml" Id="R5fbf1de28cde4b87" /><Relationship Type="http://schemas.openxmlformats.org/officeDocument/2006/relationships/sharedStrings" Target="/xl/sharedStrings.xml" Id="Rcc20d35f748a46f8" /><Relationship Type="http://schemas.openxmlformats.org/officeDocument/2006/relationships/worksheet" Target="/xl/worksheets/sheet1.xml" Id="Ra26b25a2ec2d400a" /><Relationship Type="http://schemas.openxmlformats.org/officeDocument/2006/relationships/worksheet" Target="/xl/worksheets/sheet2.xml" Id="R9182d8ad85a64da0" /><Relationship Type="http://schemas.openxmlformats.org/officeDocument/2006/relationships/worksheet" Target="/xl/worksheets/sheet3.xml" Id="R8fbae3fac2ab44a5" /><Relationship Type="http://schemas.openxmlformats.org/officeDocument/2006/relationships/worksheet" Target="/xl/worksheets/sheet4.xml" Id="R09e0add0c03e4f61" /></Relationships>
</file>

<file path=xl/tables/table1.xml><?xml version="1.0" encoding="utf-8"?>
<x:table xmlns:x="http://schemas.openxmlformats.org/spreadsheetml/2006/main" id="1" name="AssetRegister" displayName="AssetRegister" ref="A4:H7" headerRowCount="1">
  <x:tableColumns count="8">
    <x:tableColumn id="1" name="Asset"/>
    <x:tableColumn id="2" name="Service"/>
    <x:tableColumn id="3" name="Motor_rating_kW"/>
    <x:tableColumn id="4" name="Drive arrangement"/>
    <x:tableColumn id="5" name="Maximum approved operating limit"/>
    <x:tableColumn id="6" name="Availability status"/>
    <x:tableColumn id="7" name="Controlling evidence"/>
    <x:tableColumn id="8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VFDRegister" displayName="VFDRegister" ref="A4:F6" headerRowCount="1">
  <x:tableColumns count="6">
    <x:tableColumn id="1" name="VFD"/>
    <x:tableColumn id="2" name="Associated pump"/>
    <x:tableColumn id="3" name="Rated output_kW"/>
    <x:tableColumn id="4" name="Status"/>
    <x:tableColumn id="5" name="Constraint"/>
    <x:tableColumn id="6" name="Assessment use"/>
  </x:tableColumns>
  <x:tableStyleInfo name="TableStyleMedium2" showRowStripes="1"/>
</x:table>
</file>

<file path=xl/tables/table3.xml><?xml version="1.0" encoding="utf-8"?>
<x:table xmlns:x="http://schemas.openxmlformats.org/spreadsheetml/2006/main" id="3" name="MaintenanceLog" displayName="MaintenanceLog" ref="A4:G8" headerRowCount="1">
  <x:tableColumns count="7">
    <x:tableColumn id="1" name="Record"/>
    <x:tableColumn id="2" name="Asset"/>
    <x:tableColumn id="3" name="Date"/>
    <x:tableColumn id="4" name="Record type"/>
    <x:tableColumn id="5" name="Status"/>
    <x:tableColumn id="6" name="Statement"/>
    <x:tableColumn id="7" name="Authority"/>
  </x:tableColumns>
  <x:tableStyleInfo name="TableStyleMedium2" showRowStripes="1"/>
</x:table>
</file>

<file path=xl/tables/table4.xml><?xml version="1.0" encoding="utf-8"?>
<x:table xmlns:x="http://schemas.openxmlformats.org/spreadsheetml/2006/main" id="4" name="PrePOElectricalGaps" displayName="PrePOElectricalGaps" ref="A4:G8" headerRowCount="1">
  <x:tableColumns count="7">
    <x:tableColumn id="1" name="Gap ID"/>
    <x:tableColumn id="2" name="Affected option"/>
    <x:tableColumn id="3" name="Question"/>
    <x:tableColumn id="4" name="Required evidence"/>
    <x:tableColumn id="5" name="Owner"/>
    <x:tableColumn id="6" name="Decision gat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8c111c5eb544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ab433aa2244f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2750804b61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ebcb7d3fac4a4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4" hidden="0" customWidth="1"/>
    <x:col min="5" max="5" width="34" hidden="0" customWidth="1"/>
    <x:col min="6" max="6" width="28" hidden="0" customWidth="1"/>
    <x:col min="7" max="7" width="32" hidden="0" customWidth="1"/>
    <x:col min="8" max="8" width="45" hidden="0" customWidth="1"/>
  </x:cols>
  <x:sheetData>
    <x:row r="1" ht="24" customHeight="1">
      <x:c r="A1" s="5" t="str">
        <x:v>NBP2 Motor, VFD and Maintenance Register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Asset availability and electrical limits. Active lockout records override draft maintenance notes.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Asset</x:v>
      </x:c>
      <x:c r="B4" s="18" t="str">
        <x:v>Service</x:v>
      </x:c>
      <x:c r="C4" s="18" t="str">
        <x:v>Motor_rating_kW</x:v>
      </x:c>
      <x:c r="D4" s="18" t="str">
        <x:v>Drive arrangement</x:v>
      </x:c>
      <x:c r="E4" s="18" t="str">
        <x:v>Maximum approved operating limit</x:v>
      </x:c>
      <x:c r="F4" s="18" t="str">
        <x:v>Availability status</x:v>
      </x:c>
      <x:c r="G4" s="18" t="str">
        <x:v>Controlling evidence</x:v>
      </x:c>
      <x:c r="H4" s="18" t="str">
        <x:v>Comment</x:v>
      </x:c>
    </x:row>
    <x:row r="5">
      <x:c r="A5" s="24" t="str">
        <x:v>P-101</x:v>
      </x:c>
      <x:c r="B5" s="24" t="str">
        <x:v>Base-load booster pump</x:v>
      </x:c>
      <x:c r="C5" s="24" t="n">
        <x:v>75</x:v>
      </x:c>
      <x:c r="D5" s="24" t="str">
        <x:v>Fixed speed DOL</x:v>
      </x:c>
      <x:c r="E5" s="24" t="str">
        <x:v>75 kW motor nameplate</x:v>
      </x:c>
      <x:c r="F5" s="24" t="str">
        <x:v>AVAILABLE</x:v>
      </x:c>
      <x:c r="G5" s="24" t="str">
        <x:v>AR-2026-05 signed asset register</x:v>
      </x:c>
      <x:c r="H5" s="24" t="str">
        <x:v>Duty base-load pump.</x:v>
      </x:c>
    </x:row>
    <x:row r="6">
      <x:c r="A6" s="24" t="str">
        <x:v>P-102</x:v>
      </x:c>
      <x:c r="B6" s="24" t="str">
        <x:v>Trim booster pump</x:v>
      </x:c>
      <x:c r="C6" s="24" t="n">
        <x:v>55</x:v>
      </x:c>
      <x:c r="D6" s="24" t="str">
        <x:v>Existing VFD VFD-102</x:v>
      </x:c>
      <x:c r="E6" s="24" t="str">
        <x:v>55 kW output; 100% approved max speed</x:v>
      </x:c>
      <x:c r="F6" s="24" t="str">
        <x:v>AVAILABLE</x:v>
      </x:c>
      <x:c r="G6" s="24" t="str">
        <x:v>AR-2026-05 signed asset register</x:v>
      </x:c>
      <x:c r="H6" s="24" t="str">
        <x:v>Existing drive is not adequate for Option B replacement pump.</x:v>
      </x:c>
    </x:row>
    <x:row r="7">
      <x:c r="A7" s="24" t="str">
        <x:v>P-103</x:v>
      </x:c>
      <x:c r="B7" s="24" t="str">
        <x:v>Standby booster pump</x:v>
      </x:c>
      <x:c r="C7" s="24" t="n">
        <x:v>75</x:v>
      </x:c>
      <x:c r="D7" s="24" t="str">
        <x:v>Fixed speed DOL</x:v>
      </x:c>
      <x:c r="E7" s="24" t="str">
        <x:v>75 kW motor nameplate</x:v>
      </x:c>
      <x:c r="F7" s="24" t="str">
        <x:v>UNAVAILABLE - ACTIVE LOTO</x:v>
      </x:c>
      <x:c r="G7" s="24" t="str">
        <x:v>LOTO-26-0518-P103</x:v>
      </x:c>
      <x:c r="H7" s="24" t="str">
        <x:v>Bearing and seal damage; return-to-service work is incomplete.</x:v>
      </x:c>
    </x:row>
  </x:sheetData>
  <x:mergeCells>
    <x:mergeCell ref="A1:H1"/>
    <x:mergeCell ref="A2:H2"/>
  </x:mergeCells>
  <x:conditionalFormatting sqref="A5:H7">
    <x:cfRule type="expression" dxfId="0" priority="1">
      <x:formula>LEFT($F5,11)="UNAVAILABLE"</x:formula>
    </x:cfRule>
    <x:cfRule type="expression" dxfId="1" priority="2">
      <x:formula>$F5="AVAILABLE"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38c111c5eb544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60" hidden="0" customWidth="1"/>
    <x:col min="6" max="6" width="42" hidden="0" customWidth="1"/>
  </x:cols>
  <x:sheetData>
    <x:row r="1" ht="24" customHeight="1">
      <x:c r="A1" s="5" t="str">
        <x:v>VFD Register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Existing and proposed drive information.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VFD</x:v>
      </x:c>
      <x:c r="B4" s="18" t="str">
        <x:v>Associated pump</x:v>
      </x:c>
      <x:c r="C4" s="18" t="str">
        <x:v>Rated output_kW</x:v>
      </x:c>
      <x:c r="D4" s="18" t="str">
        <x:v>Status</x:v>
      </x:c>
      <x:c r="E4" s="18" t="str">
        <x:v>Constraint</x:v>
      </x:c>
      <x:c r="F4" s="18" t="str">
        <x:v>Assessment use</x:v>
      </x:c>
    </x:row>
    <x:row r="5">
      <x:c r="A5" s="24" t="str">
        <x:v>VFD-102</x:v>
      </x:c>
      <x:c r="B5" s="24" t="str">
        <x:v>P-102</x:v>
      </x:c>
      <x:c r="C5" s="24" t="n">
        <x:v>55</x:v>
      </x:c>
      <x:c r="D5" s="24" t="str">
        <x:v>IN SERVICE</x:v>
      </x:c>
      <x:c r="E5" s="24" t="str">
        <x:v>Existing VFD is limited to 55 kW output and 100% approved maximum speed.</x:v>
      </x:c>
      <x:c r="F5" s="24" t="str">
        <x:v>Use for current baseline and Option A only.</x:v>
      </x:c>
    </x:row>
    <x:row r="6">
      <x:c r="A6" s="24" t="str">
        <x:v>VFD-B-PROPOSED</x:v>
      </x:c>
      <x:c r="B6" s="24" t="str">
        <x:v>Option B replacement trim pump</x:v>
      </x:c>
      <x:c r="C6" s="24" t="n">
        <x:v>90</x:v>
      </x:c>
      <x:c r="D6" s="24" t="str">
        <x:v>PROPOSED</x:v>
      </x:c>
      <x:c r="E6" s="24" t="str">
        <x:v>Harmonic study, cable sizing, and MCC protection review are not yet complete.</x:v>
      </x:c>
      <x:c r="F6" s="24" t="str">
        <x:v>Record pre-PO open items.</x:v>
      </x:c>
    </x:row>
  </x:sheetData>
  <x:mergeCells>
    <x:mergeCell ref="A1:H1"/>
    <x:mergeCell ref="A2:H2"/>
  </x:mergeCells>
  <x:conditionalFormatting sqref="A5:F6">
    <x:cfRule type="expression" dxfId="2" priority="1">
      <x:formula>$D5="PROPOSED"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ab433aa2244f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4" hidden="0" customWidth="1"/>
    <x:col min="5" max="5" width="16" hidden="0" customWidth="1"/>
    <x:col min="6" max="6" width="80" hidden="0" customWidth="1"/>
    <x:col min="7" max="7" width="30" hidden="0" customWidth="1"/>
  </x:cols>
  <x:sheetData>
    <x:row r="1" ht="24" customHeight="1">
      <x:c r="A1" s="5" t="str">
        <x:v>Maintenance and Lockout Log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Conflicting maintenance notes are retained deliberately. Resolve using document status and issue date.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Record</x:v>
      </x:c>
      <x:c r="B4" s="18" t="str">
        <x:v>Asset</x:v>
      </x:c>
      <x:c r="C4" s="18" t="str">
        <x:v>Date</x:v>
      </x:c>
      <x:c r="D4" s="18" t="str">
        <x:v>Record type</x:v>
      </x:c>
      <x:c r="E4" s="18" t="str">
        <x:v>Status</x:v>
      </x:c>
      <x:c r="F4" s="18" t="str">
        <x:v>Statement</x:v>
      </x:c>
      <x:c r="G4" s="18" t="str">
        <x:v>Authority</x:v>
      </x:c>
    </x:row>
    <x:row r="5">
      <x:c r="A5" s="24" t="str">
        <x:v>MN-2026-0510-DRAFT</x:v>
      </x:c>
      <x:c r="B5" s="24" t="str">
        <x:v>P-103</x:v>
      </x:c>
      <x:c r="C5" s="24" t="str">
        <x:v>2026-05-10</x:v>
      </x:c>
      <x:c r="D5" s="24" t="str">
        <x:v>Draft maintenance note</x:v>
      </x:c>
      <x:c r="E5" s="24" t="str">
        <x:v>DRAFT</x:v>
      </x:c>
      <x:c r="F5" s="24" t="str">
        <x:v>P-103 may be returned to service after vibration spot-check.</x:v>
      </x:c>
      <x:c r="G5" s="24" t="str">
        <x:v>Unsigned draft - not controlling</x:v>
      </x:c>
    </x:row>
    <x:row r="6">
      <x:c r="A6" s="24" t="str">
        <x:v>LOTO-26-0518-P103</x:v>
      </x:c>
      <x:c r="B6" s="24" t="str">
        <x:v>P-103</x:v>
      </x:c>
      <x:c r="C6" s="24" t="str">
        <x:v>2026-05-18</x:v>
      </x:c>
      <x:c r="D6" s="24" t="str">
        <x:v>Lockout / tagout record</x:v>
      </x:c>
      <x:c r="E6" s="24" t="str">
        <x:v>ACTIVE</x:v>
      </x:c>
      <x:c r="F6" s="24" t="str">
        <x:v>P-103 locked out following bearing damage, seal leakage, and oil carryover. Release requires repair work order closure and signed vibration test.</x:v>
      </x:c>
      <x:c r="G6" s="24" t="str">
        <x:v>Active signed safety control</x:v>
      </x:c>
    </x:row>
    <x:row r="7">
      <x:c r="A7" s="24" t="str">
        <x:v>WO-26-0520-P103</x:v>
      </x:c>
      <x:c r="B7" s="24" t="str">
        <x:v>P-103</x:v>
      </x:c>
      <x:c r="C7" s="24" t="str">
        <x:v>2026-05-20</x:v>
      </x:c>
      <x:c r="D7" s="24" t="str">
        <x:v>Repair work order</x:v>
      </x:c>
      <x:c r="E7" s="24" t="str">
        <x:v>OPEN</x:v>
      </x:c>
      <x:c r="F7" s="24" t="str">
        <x:v>Bearing replacement kit ordered; completion date not confirmed.</x:v>
      </x:c>
      <x:c r="G7" s="24" t="str">
        <x:v>Open work order</x:v>
      </x:c>
    </x:row>
    <x:row r="8">
      <x:c r="A8" s="24" t="str">
        <x:v>OBS-26-0514-STR</x:v>
      </x:c>
      <x:c r="B8" s="24" t="str">
        <x:v>Suction strainer</x:v>
      </x:c>
      <x:c r="C8" s="24" t="str">
        <x:v>2026-05-14</x:v>
      </x:c>
      <x:c r="D8" s="24" t="str">
        <x:v>Incident observation</x:v>
      </x:c>
      <x:c r="E8" s="24" t="str">
        <x:v>OPEN</x:v>
      </x:c>
      <x:c r="F8" s="24" t="str">
        <x:v>As-found strainer differential pressure was not instrumented. Visual inspection found debris loading after the event.</x:v>
      </x:c>
      <x:c r="G8" s="24" t="str">
        <x:v>Incident-review evidence</x:v>
      </x:c>
    </x:row>
  </x:sheetData>
  <x:mergeCells>
    <x:mergeCell ref="A1:H1"/>
    <x:mergeCell ref="A2:H2"/>
  </x:mergeCells>
  <x:conditionalFormatting sqref="A5:G8">
    <x:cfRule type="expression" dxfId="3" priority="1">
      <x:formula>$E5="ACTIVE"</x:formula>
    </x:cfRule>
    <x:cfRule type="expression" dxfId="4" priority="2">
      <x:formula>$E5="OPEN"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82750804b614c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68" hidden="0" customWidth="1"/>
    <x:col min="4" max="4" width="70" hidden="0" customWidth="1"/>
    <x:col min="5" max="5" width="26" hidden="0" customWidth="1"/>
    <x:col min="6" max="6" width="20" hidden="0" customWidth="1"/>
    <x:col min="7" max="7" width="14" hidden="0" customWidth="1"/>
  </x:cols>
  <x:sheetData>
    <x:row r="1" ht="24" customHeight="1">
      <x:c r="A1" s="5" t="str">
        <x:v>Pre-PO Electrical and Installation Gaps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These items are incomplete evidence, not automatic assumptions.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Gap ID</x:v>
      </x:c>
      <x:c r="B4" s="18" t="str">
        <x:v>Affected option</x:v>
      </x:c>
      <x:c r="C4" s="18" t="str">
        <x:v>Question</x:v>
      </x:c>
      <x:c r="D4" s="18" t="str">
        <x:v>Required evidence</x:v>
      </x:c>
      <x:c r="E4" s="18" t="str">
        <x:v>Owner</x:v>
      </x:c>
      <x:c r="F4" s="18" t="str">
        <x:v>Decision gate</x:v>
      </x:c>
      <x:c r="G4" s="18" t="str">
        <x:v>Status</x:v>
      </x:c>
    </x:row>
    <x:row r="5">
      <x:c r="A5" s="26" t="str">
        <x:v>ELEC-B-01</x:v>
      </x:c>
      <x:c r="B5" s="26" t="str">
        <x:v>Option B</x:v>
      </x:c>
      <x:c r="C5" s="26" t="str">
        <x:v>Can the existing MCC feeder, protection, and cable support the proposed 90 kW VFD?</x:v>
      </x:c>
      <x:c r="D5" s="26" t="str">
        <x:v>Signed electrical load study and protection settings</x:v>
      </x:c>
      <x:c r="E5" s="26" t="str">
        <x:v>Electrical Engineering</x:v>
      </x:c>
      <x:c r="F5" s="26" t="str">
        <x:v>Before PO release</x:v>
      </x:c>
      <x:c r="G5" s="26" t="str">
        <x:v>OPEN</x:v>
      </x:c>
    </x:row>
    <x:row r="6">
      <x:c r="A6" s="26" t="str">
        <x:v>ELEC-B-02</x:v>
      </x:c>
      <x:c r="B6" s="26" t="str">
        <x:v>Option B</x:v>
      </x:c>
      <x:c r="C6" s="26" t="str">
        <x:v>Are harmonic mitigation measures required for the proposed VFD?</x:v>
      </x:c>
      <x:c r="D6" s="26" t="str">
        <x:v>Harmonic assessment and vendor compliance statement</x:v>
      </x:c>
      <x:c r="E6" s="26" t="str">
        <x:v>Electrical Engineering</x:v>
      </x:c>
      <x:c r="F6" s="26" t="str">
        <x:v>Before PO release</x:v>
      </x:c>
      <x:c r="G6" s="26" t="str">
        <x:v>OPEN</x:v>
      </x:c>
    </x:row>
    <x:row r="7">
      <x:c r="A7" s="26" t="str">
        <x:v>MECH-B-01</x:v>
      </x:c>
      <x:c r="B7" s="26" t="str">
        <x:v>Option B</x:v>
      </x:c>
      <x:c r="C7" s="26" t="str">
        <x:v>Are existing plinth and anchors adequate for the selected baseplate reactions?</x:v>
      </x:c>
      <x:c r="D7" s="26" t="str">
        <x:v>Order-specific foundation reactions and structural check</x:v>
      </x:c>
      <x:c r="E7" s="26" t="str">
        <x:v>Mechanical Engineering</x:v>
      </x:c>
      <x:c r="F7" s="26" t="str">
        <x:v>Before PO release</x:v>
      </x:c>
      <x:c r="G7" s="26" t="str">
        <x:v>OPEN</x:v>
      </x:c>
    </x:row>
    <x:row r="8">
      <x:c r="A8" s="26" t="str">
        <x:v>LAYOUT-D-01</x:v>
      </x:c>
      <x:c r="B8" s="26" t="str">
        <x:v>Option D</x:v>
      </x:c>
      <x:c r="C8" s="26" t="str">
        <x:v>Will the packaged booster set fit the available footprint and maintenance access envelope?</x:v>
      </x:c>
      <x:c r="D8" s="26" t="str">
        <x:v>General arrangement drawing and site layout review</x:v>
      </x:c>
      <x:c r="E8" s="26" t="str">
        <x:v>Projects</x:v>
      </x:c>
      <x:c r="F8" s="26" t="str">
        <x:v>Before PO release</x:v>
      </x:c>
      <x:c r="G8" s="26" t="str">
        <x:v>OPEN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5ebcb7d3fac4a45"/>
  </x:tableParts>
</x:worksheet>
</file>