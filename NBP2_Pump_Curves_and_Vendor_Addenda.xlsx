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71a2065ae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ve_Register" sheetId="1" r:id="Ra0667acfea664f0a"/>
    <x:sheet xmlns:r="http://schemas.openxmlformats.org/officeDocument/2006/relationships" name="Approved_Curves" sheetId="2" r:id="Rdb7aa48b7829403e"/>
    <x:sheet xmlns:r="http://schemas.openxmlformats.org/officeDocument/2006/relationships" name="Superseded_Curves" sheetId="3" r:id="Rc9055aded8e34df7"/>
    <x:sheet xmlns:r="http://schemas.openxmlformats.org/officeDocument/2006/relationships" name="Vendor_Addendum" sheetId="4" r:id="R6dd6cb5236384a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F1F1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3F8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98c14c1314074" /><Relationship Type="http://schemas.openxmlformats.org/officeDocument/2006/relationships/theme" Target="/xl/theme/theme1.xml" Id="R46ad4b8e09ac4cb8" /><Relationship Type="http://schemas.openxmlformats.org/officeDocument/2006/relationships/sharedStrings" Target="/xl/sharedStrings.xml" Id="R98ea7aa54c394189" /><Relationship Type="http://schemas.openxmlformats.org/officeDocument/2006/relationships/worksheet" Target="/xl/worksheets/sheet1.xml" Id="Ra0667acfea664f0a" /><Relationship Type="http://schemas.openxmlformats.org/officeDocument/2006/relationships/worksheet" Target="/xl/worksheets/sheet2.xml" Id="Rdb7aa48b7829403e" /><Relationship Type="http://schemas.openxmlformats.org/officeDocument/2006/relationships/worksheet" Target="/xl/worksheets/sheet3.xml" Id="Rc9055aded8e34df7" /><Relationship Type="http://schemas.openxmlformats.org/officeDocument/2006/relationships/worksheet" Target="/xl/worksheets/sheet4.xml" Id="R6dd6cb5236384a2f" /></Relationships>
</file>

<file path=xl/tables/table1.xml><?xml version="1.0" encoding="utf-8"?>
<x:table xmlns:x="http://schemas.openxmlformats.org/spreadsheetml/2006/main" id="1" name="CurveRegister" displayName="CurveRegister" ref="A4:H10" headerRowCount="1">
  <x:tableColumns count="8">
    <x:tableColumn id="1" name="Curve record"/>
    <x:tableColumn id="2" name="Equipment / option"/>
    <x:tableColumn id="3" name="Revision"/>
    <x:tableColumn id="4" name="Status"/>
    <x:tableColumn id="5" name="Issue date"/>
    <x:tableColumn id="6" name="Source"/>
    <x:tableColumn id="7" name="Use rule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pprovedCurves" displayName="ApprovedCurves" ref="A4:H37" headerRowCount="1">
  <x:tableColumns count="8">
    <x:tableColumn id="1" name="Curve record"/>
    <x:tableColumn id="2" name="Configuration"/>
    <x:tableColumn id="3" name="Flow_m3_per_h"/>
    <x:tableColumn id="4" name="Head_m"/>
    <x:tableColumn id="5" name="NPSHr_m"/>
    <x:tableColumn id="6" name="Efficiency_pct"/>
    <x:tableColumn id="7" name="Speed_pct"/>
    <x:tableColumn id="8" name="Comment"/>
  </x:tableColumns>
  <x:tableStyleInfo name="TableStyleMedium2" showRowStripes="1"/>
</x:table>
</file>

<file path=xl/tables/table3.xml><?xml version="1.0" encoding="utf-8"?>
<x:table xmlns:x="http://schemas.openxmlformats.org/spreadsheetml/2006/main" id="3" name="SupersededCurves" displayName="SupersededCurves" ref="A4:F6" headerRowCount="1">
  <x:tableColumns count="6">
    <x:tableColumn id="1" name="Curve record"/>
    <x:tableColumn id="2" name="Configuration"/>
    <x:tableColumn id="3" name="Flow_m3_per_h"/>
    <x:tableColumn id="4" name="Head_m"/>
    <x:tableColumn id="5" name="NPSHr_m"/>
    <x:tableColumn id="6" name="Why not authoritative"/>
  </x:tableColumns>
  <x:tableStyleInfo name="TableStyleMedium2" showRowStripes="1"/>
</x:table>
</file>

<file path=xl/tables/table4.xml><?xml version="1.0" encoding="utf-8"?>
<x:table xmlns:x="http://schemas.openxmlformats.org/spreadsheetml/2006/main" id="4" name="VendorAddendum" displayName="VendorAddendum" ref="A4:D9" headerRowCount="1">
  <x:tableColumns count="4">
    <x:tableColumn id="1" name="Item"/>
    <x:tableColumn id="2" name="Approved statement"/>
    <x:tableColumn id="3" name="Implication for assessment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fd388758ac43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1c939d8ec742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afa98f5a1945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b381734deb416d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8" hidden="0" customWidth="1"/>
    <x:col min="3" max="3" width="10" hidden="0" customWidth="1"/>
    <x:col min="4" max="4" width="16" hidden="0" customWidth="1"/>
    <x:col min="5" max="5" width="14" hidden="0" customWidth="1"/>
    <x:col min="6" max="6" width="32" hidden="0" customWidth="1"/>
    <x:col min="7" max="7" width="36" hidden="0" customWidth="1"/>
    <x:col min="8" max="8" width="55" hidden="0" customWidth="1"/>
  </x:cols>
  <x:sheetData>
    <x:row r="1" ht="24" customHeight="1">
      <x:c r="A1" s="5" t="str">
        <x:v>NBP2 Pump Curves and Vendor Addenda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Use only the signed approved curve revision identified in this register.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Curve record</x:v>
      </x:c>
      <x:c r="B4" s="18" t="str">
        <x:v>Equipment / option</x:v>
      </x:c>
      <x:c r="C4" s="18" t="str">
        <x:v>Revision</x:v>
      </x:c>
      <x:c r="D4" s="18" t="str">
        <x:v>Status</x:v>
      </x:c>
      <x:c r="E4" s="18" t="str">
        <x:v>Issue date</x:v>
      </x:c>
      <x:c r="F4" s="18" t="str">
        <x:v>Source</x:v>
      </x:c>
      <x:c r="G4" s="18" t="str">
        <x:v>Use rule</x:v>
      </x:c>
      <x:c r="H4" s="18" t="str">
        <x:v>Notes</x:v>
      </x:c>
    </x:row>
    <x:row r="5">
      <x:c r="A5" s="24" t="str">
        <x:v>PC-CURRENT-REV-B</x:v>
      </x:c>
      <x:c r="B5" s="24" t="str">
        <x:v>Current P-101 + P-102 arrangement</x:v>
      </x:c>
      <x:c r="C5" s="24" t="str">
        <x:v>B</x:v>
      </x:c>
      <x:c r="D5" s="24" t="str">
        <x:v>SUPERSEDED</x:v>
      </x:c>
      <x:c r="E5" s="24" t="str">
        <x:v>2025-08-15</x:v>
      </x:c>
      <x:c r="F5" s="24" t="str">
        <x:v>Legacy vendor brochure</x:v>
      </x:c>
      <x:c r="G5" s="24" t="str">
        <x:v>Do not use</x:v>
      </x:c>
      <x:c r="H5" s="24" t="str">
        <x:v>Optimistic head and NPSHr values based on pre-installation impeller assumptions.</x:v>
      </x:c>
    </x:row>
    <x:row r="6">
      <x:c r="A6" s="24" t="str">
        <x:v>PC-CURRENT-REV-C</x:v>
      </x:c>
      <x:c r="B6" s="24" t="str">
        <x:v>Current P-101 + P-102 arrangement</x:v>
      </x:c>
      <x:c r="C6" s="24" t="str">
        <x:v>C</x:v>
      </x:c>
      <x:c r="D6" s="24" t="str">
        <x:v>APPROVED</x:v>
      </x:c>
      <x:c r="E6" s="24" t="str">
        <x:v>2026-05-22</x:v>
      </x:c>
      <x:c r="F6" s="24" t="str">
        <x:v>Signed vendor addendum VA-2026-17</x:v>
      </x:c>
      <x:c r="G6" s="24" t="str">
        <x:v>Use for current baseline</x:v>
      </x:c>
      <x:c r="H6" s="24" t="str">
        <x:v>Reflects installed impellers and verified P-102 speed limit.</x:v>
      </x:c>
    </x:row>
    <x:row r="7">
      <x:c r="A7" s="24" t="str">
        <x:v>PC-OPT-A-REV-C</x:v>
      </x:c>
      <x:c r="B7" s="24" t="str">
        <x:v>Option A - trim upgrade only</x:v>
      </x:c>
      <x:c r="C7" s="24" t="str">
        <x:v>C</x:v>
      </x:c>
      <x:c r="D7" s="24" t="str">
        <x:v>APPROVED</x:v>
      </x:c>
      <x:c r="E7" s="24" t="str">
        <x:v>2026-05-22</x:v>
      </x:c>
      <x:c r="F7" s="24" t="str">
        <x:v>Signed vendor addendum VA-2026-17</x:v>
      </x:c>
      <x:c r="G7" s="24" t="str">
        <x:v>Use for screening</x:v>
      </x:c>
      <x:c r="H7" s="24" t="str">
        <x:v>No new suction-side improvement.</x:v>
      </x:c>
    </x:row>
    <x:row r="8">
      <x:c r="A8" s="24" t="str">
        <x:v>PC-OPT-B-REV-C</x:v>
      </x:c>
      <x:c r="B8" s="24" t="str">
        <x:v>Option B - replacement trim pump + controls</x:v>
      </x:c>
      <x:c r="C8" s="24" t="str">
        <x:v>C</x:v>
      </x:c>
      <x:c r="D8" s="24" t="str">
        <x:v>APPROVED</x:v>
      </x:c>
      <x:c r="E8" s="24" t="str">
        <x:v>2026-05-22</x:v>
      </x:c>
      <x:c r="F8" s="24" t="str">
        <x:v>Signed vendor addendum VA-2026-17</x:v>
      </x:c>
      <x:c r="G8" s="24" t="str">
        <x:v>Use for screening</x:v>
      </x:c>
      <x:c r="H8" s="24" t="str">
        <x:v>Requires new 90 kW VFD and pre-PO checks.</x:v>
      </x:c>
    </x:row>
    <x:row r="9">
      <x:c r="A9" s="24" t="str">
        <x:v>PC-OPT-C-REV-C</x:v>
      </x:c>
      <x:c r="B9" s="24" t="str">
        <x:v>Option C - return P-103 to service + tank</x:v>
      </x:c>
      <x:c r="C9" s="24" t="str">
        <x:v>C</x:v>
      </x:c>
      <x:c r="D9" s="24" t="str">
        <x:v>APPROVED</x:v>
      </x:c>
      <x:c r="E9" s="24" t="str">
        <x:v>2026-05-22</x:v>
      </x:c>
      <x:c r="F9" s="24" t="str">
        <x:v>Signed vendor addendum VA-2026-17</x:v>
      </x:c>
      <x:c r="G9" s="24" t="str">
        <x:v>Use for screening only if P-103 is available</x:v>
      </x:c>
      <x:c r="H9" s="24" t="str">
        <x:v>P-103 availability must be resolved from maintenance control records.</x:v>
      </x:c>
    </x:row>
    <x:row r="10">
      <x:c r="A10" s="24" t="str">
        <x:v>PC-OPT-D-REV-C</x:v>
      </x:c>
      <x:c r="B10" s="24" t="str">
        <x:v>Option D - packaged booster set</x:v>
      </x:c>
      <x:c r="C10" s="24" t="str">
        <x:v>C</x:v>
      </x:c>
      <x:c r="D10" s="24" t="str">
        <x:v>APPROVED</x:v>
      </x:c>
      <x:c r="E10" s="24" t="str">
        <x:v>2026-05-22</x:v>
      </x:c>
      <x:c r="F10" s="24" t="str">
        <x:v>Signed vendor addendum VA-2026-17</x:v>
      </x:c>
      <x:c r="G10" s="24" t="str">
        <x:v>Use for screening</x:v>
      </x:c>
      <x:c r="H10" s="24" t="str">
        <x:v>General arrangement drawing is not included in quote.</x:v>
      </x:c>
    </x:row>
  </x:sheetData>
  <x:mergeCells>
    <x:mergeCell ref="A1:H1"/>
    <x:mergeCell ref="A2:H2"/>
  </x:mergeCells>
  <x:conditionalFormatting sqref="A5:H10">
    <x:cfRule type="expression" dxfId="0" priority="1">
      <x:formula>$D5="SUPERSEDED"</x:formula>
    </x:cfRule>
    <x:cfRule type="expression" dxfId="1" priority="2">
      <x:formula>$D5="APPROVED"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fd388758ac433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12" hidden="0" customWidth="1"/>
    <x:col min="8" max="8" width="30" hidden="0" customWidth="1"/>
  </x:cols>
  <x:sheetData>
    <x:row r="1" ht="24" customHeight="1">
      <x:c r="A1" s="5" t="str">
        <x:v>Approved Pump Curves - Revision C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Head and NPSHr values are vendor-certified points for water service. Interpolate between listed points for screening.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Curve record</x:v>
      </x:c>
      <x:c r="B4" s="18" t="str">
        <x:v>Configuration</x:v>
      </x:c>
      <x:c r="C4" s="18" t="str">
        <x:v>Flow_m3_per_h</x:v>
      </x:c>
      <x:c r="D4" s="18" t="str">
        <x:v>Head_m</x:v>
      </x:c>
      <x:c r="E4" s="18" t="str">
        <x:v>NPSHr_m</x:v>
      </x:c>
      <x:c r="F4" s="18" t="str">
        <x:v>Efficiency_pct</x:v>
      </x:c>
      <x:c r="G4" s="18" t="str">
        <x:v>Speed_pct</x:v>
      </x:c>
      <x:c r="H4" s="18" t="str">
        <x:v>Comment</x:v>
      </x:c>
    </x:row>
    <x:row r="5">
      <x:c r="A5" s="24" t="str">
        <x:v>PC-CURRENT-REV-C</x:v>
      </x:c>
      <x:c r="B5" s="24" t="str">
        <x:v>Current P-101 + P-102</x:v>
      </x:c>
      <x:c r="C5" s="24" t="n">
        <x:v>0</x:v>
      </x:c>
      <x:c r="D5" s="24" t="n">
        <x:v>61.5</x:v>
      </x:c>
      <x:c r="E5" s="24" t="n">
        <x:v>1.8</x:v>
      </x:c>
      <x:c r="F5" s="24" t="n">
        <x:v>0</x:v>
      </x:c>
      <x:c r="G5" s="24" t="n">
        <x:v>100</x:v>
      </x:c>
      <x:c r="H5" s="24" t="str">
        <x:v>Approved Rev C point</x:v>
      </x:c>
    </x:row>
    <x:row r="6">
      <x:c r="A6" s="24" t="str">
        <x:v>PC-CURRENT-REV-C</x:v>
      </x:c>
      <x:c r="B6" s="24" t="str">
        <x:v>Current P-101 + P-102</x:v>
      </x:c>
      <x:c r="C6" s="24" t="n">
        <x:v>40</x:v>
      </x:c>
      <x:c r="D6" s="24" t="n">
        <x:v>58.8</x:v>
      </x:c>
      <x:c r="E6" s="24" t="n">
        <x:v>2</x:v>
      </x:c>
      <x:c r="F6" s="24" t="n">
        <x:v>65</x:v>
      </x:c>
      <x:c r="G6" s="24" t="n">
        <x:v>100</x:v>
      </x:c>
      <x:c r="H6" s="24" t="str">
        <x:v>Approved Rev C point</x:v>
      </x:c>
    </x:row>
    <x:row r="7">
      <x:c r="A7" s="24" t="str">
        <x:v>PC-CURRENT-REV-C</x:v>
      </x:c>
      <x:c r="B7" s="24" t="str">
        <x:v>Current P-101 + P-102</x:v>
      </x:c>
      <x:c r="C7" s="24" t="n">
        <x:v>80</x:v>
      </x:c>
      <x:c r="D7" s="24" t="n">
        <x:v>53.2</x:v>
      </x:c>
      <x:c r="E7" s="24" t="n">
        <x:v>2.4</x:v>
      </x:c>
      <x:c r="F7" s="24" t="n">
        <x:v>73</x:v>
      </x:c>
      <x:c r="G7" s="24" t="n">
        <x:v>100</x:v>
      </x:c>
      <x:c r="H7" s="24" t="str">
        <x:v>Approved Rev C point</x:v>
      </x:c>
    </x:row>
    <x:row r="8">
      <x:c r="A8" s="24" t="str">
        <x:v>PC-CURRENT-REV-C</x:v>
      </x:c>
      <x:c r="B8" s="24" t="str">
        <x:v>Current P-101 + P-102</x:v>
      </x:c>
      <x:c r="C8" s="24" t="n">
        <x:v>100</x:v>
      </x:c>
      <x:c r="D8" s="24" t="n">
        <x:v>49.9</x:v>
      </x:c>
      <x:c r="E8" s="24" t="n">
        <x:v>2.7</x:v>
      </x:c>
      <x:c r="F8" s="24" t="n">
        <x:v>72</x:v>
      </x:c>
      <x:c r="G8" s="24" t="n">
        <x:v>100</x:v>
      </x:c>
      <x:c r="H8" s="24" t="str">
        <x:v>Approved Rev C point</x:v>
      </x:c>
    </x:row>
    <x:row r="9">
      <x:c r="A9" s="24" t="str">
        <x:v>PC-CURRENT-REV-C</x:v>
      </x:c>
      <x:c r="B9" s="24" t="str">
        <x:v>Current P-101 + P-102</x:v>
      </x:c>
      <x:c r="C9" s="24" t="n">
        <x:v>120</x:v>
      </x:c>
      <x:c r="D9" s="24" t="n">
        <x:v>46.8</x:v>
      </x:c>
      <x:c r="E9" s="24" t="n">
        <x:v>3</x:v>
      </x:c>
      <x:c r="F9" s="24" t="n">
        <x:v>69</x:v>
      </x:c>
      <x:c r="G9" s="24" t="n">
        <x:v>100</x:v>
      </x:c>
      <x:c r="H9" s="24" t="str">
        <x:v>Approved Rev C point</x:v>
      </x:c>
    </x:row>
    <x:row r="10">
      <x:c r="A10" s="24" t="str">
        <x:v>PC-CURRENT-REV-C</x:v>
      </x:c>
      <x:c r="B10" s="24" t="str">
        <x:v>Current P-101 + P-102</x:v>
      </x:c>
      <x:c r="C10" s="24" t="n">
        <x:v>140</x:v>
      </x:c>
      <x:c r="D10" s="24" t="n">
        <x:v>42.8</x:v>
      </x:c>
      <x:c r="E10" s="24" t="n">
        <x:v>3.5</x:v>
      </x:c>
      <x:c r="F10" s="24" t="n">
        <x:v>63</x:v>
      </x:c>
      <x:c r="G10" s="24" t="n">
        <x:v>100</x:v>
      </x:c>
      <x:c r="H10" s="24" t="str">
        <x:v>Approved Rev C point</x:v>
      </x:c>
    </x:row>
    <x:row r="11">
      <x:c r="A11" s="24" t="str">
        <x:v>PC-OPT-A-REV-C</x:v>
      </x:c>
      <x:c r="B11" s="24" t="str">
        <x:v>Option A</x:v>
      </x:c>
      <x:c r="C11" s="24" t="n">
        <x:v>0</x:v>
      </x:c>
      <x:c r="D11" s="24" t="n">
        <x:v>63</x:v>
      </x:c>
      <x:c r="E11" s="24" t="n">
        <x:v>2</x:v>
      </x:c>
      <x:c r="F11" s="24" t="n">
        <x:v>0</x:v>
      </x:c>
      <x:c r="G11" s="24" t="n">
        <x:v>100</x:v>
      </x:c>
      <x:c r="H11" s="24" t="str">
        <x:v>Approved Rev C point</x:v>
      </x:c>
    </x:row>
    <x:row r="12">
      <x:c r="A12" s="24" t="str">
        <x:v>PC-OPT-A-REV-C</x:v>
      </x:c>
      <x:c r="B12" s="24" t="str">
        <x:v>Option A</x:v>
      </x:c>
      <x:c r="C12" s="24" t="n">
        <x:v>40</x:v>
      </x:c>
      <x:c r="D12" s="24" t="n">
        <x:v>60.5</x:v>
      </x:c>
      <x:c r="E12" s="24" t="n">
        <x:v>2.2</x:v>
      </x:c>
      <x:c r="F12" s="24" t="n">
        <x:v>66</x:v>
      </x:c>
      <x:c r="G12" s="24" t="n">
        <x:v>100</x:v>
      </x:c>
      <x:c r="H12" s="24" t="str">
        <x:v>Approved Rev C point</x:v>
      </x:c>
    </x:row>
    <x:row r="13">
      <x:c r="A13" s="24" t="str">
        <x:v>PC-OPT-A-REV-C</x:v>
      </x:c>
      <x:c r="B13" s="24" t="str">
        <x:v>Option A</x:v>
      </x:c>
      <x:c r="C13" s="24" t="n">
        <x:v>80</x:v>
      </x:c>
      <x:c r="D13" s="24" t="n">
        <x:v>55.1</x:v>
      </x:c>
      <x:c r="E13" s="24" t="n">
        <x:v>2.6</x:v>
      </x:c>
      <x:c r="F13" s="24" t="n">
        <x:v>74</x:v>
      </x:c>
      <x:c r="G13" s="24" t="n">
        <x:v>100</x:v>
      </x:c>
      <x:c r="H13" s="24" t="str">
        <x:v>Approved Rev C point</x:v>
      </x:c>
    </x:row>
    <x:row r="14">
      <x:c r="A14" s="24" t="str">
        <x:v>PC-OPT-A-REV-C</x:v>
      </x:c>
      <x:c r="B14" s="24" t="str">
        <x:v>Option A</x:v>
      </x:c>
      <x:c r="C14" s="24" t="n">
        <x:v>100</x:v>
      </x:c>
      <x:c r="D14" s="24" t="n">
        <x:v>51.7</x:v>
      </x:c>
      <x:c r="E14" s="24" t="n">
        <x:v>2.9</x:v>
      </x:c>
      <x:c r="F14" s="24" t="n">
        <x:v>73</x:v>
      </x:c>
      <x:c r="G14" s="24" t="n">
        <x:v>100</x:v>
      </x:c>
      <x:c r="H14" s="24" t="str">
        <x:v>Approved Rev C point</x:v>
      </x:c>
    </x:row>
    <x:row r="15">
      <x:c r="A15" s="24" t="str">
        <x:v>PC-OPT-A-REV-C</x:v>
      </x:c>
      <x:c r="B15" s="24" t="str">
        <x:v>Option A</x:v>
      </x:c>
      <x:c r="C15" s="24" t="n">
        <x:v>120</x:v>
      </x:c>
      <x:c r="D15" s="24" t="n">
        <x:v>48.5</x:v>
      </x:c>
      <x:c r="E15" s="24" t="n">
        <x:v>3.2</x:v>
      </x:c>
      <x:c r="F15" s="24" t="n">
        <x:v>70</x:v>
      </x:c>
      <x:c r="G15" s="24" t="n">
        <x:v>100</x:v>
      </x:c>
      <x:c r="H15" s="24" t="str">
        <x:v>Approved Rev C point</x:v>
      </x:c>
    </x:row>
    <x:row r="16">
      <x:c r="A16" s="24" t="str">
        <x:v>PC-OPT-A-REV-C</x:v>
      </x:c>
      <x:c r="B16" s="24" t="str">
        <x:v>Option A</x:v>
      </x:c>
      <x:c r="C16" s="24" t="n">
        <x:v>140</x:v>
      </x:c>
      <x:c r="D16" s="24" t="n">
        <x:v>44</x:v>
      </x:c>
      <x:c r="E16" s="24" t="n">
        <x:v>3.8</x:v>
      </x:c>
      <x:c r="F16" s="24" t="n">
        <x:v>64</x:v>
      </x:c>
      <x:c r="G16" s="24" t="n">
        <x:v>100</x:v>
      </x:c>
      <x:c r="H16" s="24" t="str">
        <x:v>Approved Rev C point</x:v>
      </x:c>
    </x:row>
    <x:row r="17">
      <x:c r="A17" s="24" t="str">
        <x:v>PC-OPT-B-REV-C</x:v>
      </x:c>
      <x:c r="B17" s="24" t="str">
        <x:v>Option B</x:v>
      </x:c>
      <x:c r="C17" s="24" t="n">
        <x:v>0</x:v>
      </x:c>
      <x:c r="D17" s="24" t="n">
        <x:v>70.2</x:v>
      </x:c>
      <x:c r="E17" s="24" t="n">
        <x:v>1.6</x:v>
      </x:c>
      <x:c r="F17" s="24" t="n">
        <x:v>0</x:v>
      </x:c>
      <x:c r="G17" s="24" t="n">
        <x:v>100</x:v>
      </x:c>
      <x:c r="H17" s="24" t="str">
        <x:v>Approved Rev C point</x:v>
      </x:c>
    </x:row>
    <x:row r="18">
      <x:c r="A18" s="24" t="str">
        <x:v>PC-OPT-B-REV-C</x:v>
      </x:c>
      <x:c r="B18" s="24" t="str">
        <x:v>Option B</x:v>
      </x:c>
      <x:c r="C18" s="24" t="n">
        <x:v>40</x:v>
      </x:c>
      <x:c r="D18" s="24" t="n">
        <x:v>67.8</x:v>
      </x:c>
      <x:c r="E18" s="24" t="n">
        <x:v>1.8</x:v>
      </x:c>
      <x:c r="F18" s="24" t="n">
        <x:v>70</x:v>
      </x:c>
      <x:c r="G18" s="24" t="n">
        <x:v>100</x:v>
      </x:c>
      <x:c r="H18" s="24" t="str">
        <x:v>Approved Rev C point</x:v>
      </x:c>
    </x:row>
    <x:row r="19">
      <x:c r="A19" s="24" t="str">
        <x:v>PC-OPT-B-REV-C</x:v>
      </x:c>
      <x:c r="B19" s="24" t="str">
        <x:v>Option B</x:v>
      </x:c>
      <x:c r="C19" s="24" t="n">
        <x:v>80</x:v>
      </x:c>
      <x:c r="D19" s="24" t="n">
        <x:v>62.5</x:v>
      </x:c>
      <x:c r="E19" s="24" t="n">
        <x:v>2</x:v>
      </x:c>
      <x:c r="F19" s="24" t="n">
        <x:v>78</x:v>
      </x:c>
      <x:c r="G19" s="24" t="n">
        <x:v>100</x:v>
      </x:c>
      <x:c r="H19" s="24" t="str">
        <x:v>Approved Rev C point</x:v>
      </x:c>
    </x:row>
    <x:row r="20">
      <x:c r="A20" s="24" t="str">
        <x:v>PC-OPT-B-REV-C</x:v>
      </x:c>
      <x:c r="B20" s="24" t="str">
        <x:v>Option B</x:v>
      </x:c>
      <x:c r="C20" s="24" t="n">
        <x:v>100</x:v>
      </x:c>
      <x:c r="D20" s="24" t="n">
        <x:v>59</x:v>
      </x:c>
      <x:c r="E20" s="24" t="n">
        <x:v>2.2</x:v>
      </x:c>
      <x:c r="F20" s="24" t="n">
        <x:v>79</x:v>
      </x:c>
      <x:c r="G20" s="24" t="n">
        <x:v>100</x:v>
      </x:c>
      <x:c r="H20" s="24" t="str">
        <x:v>Approved Rev C point</x:v>
      </x:c>
    </x:row>
    <x:row r="21">
      <x:c r="A21" s="24" t="str">
        <x:v>PC-OPT-B-REV-C</x:v>
      </x:c>
      <x:c r="B21" s="24" t="str">
        <x:v>Option B</x:v>
      </x:c>
      <x:c r="C21" s="24" t="n">
        <x:v>120</x:v>
      </x:c>
      <x:c r="D21" s="24" t="n">
        <x:v>55.4</x:v>
      </x:c>
      <x:c r="E21" s="24" t="n">
        <x:v>2.4</x:v>
      </x:c>
      <x:c r="F21" s="24" t="n">
        <x:v>78</x:v>
      </x:c>
      <x:c r="G21" s="24" t="n">
        <x:v>100</x:v>
      </x:c>
      <x:c r="H21" s="24" t="str">
        <x:v>Approved Rev C point</x:v>
      </x:c>
    </x:row>
    <x:row r="22">
      <x:c r="A22" s="24" t="str">
        <x:v>PC-OPT-B-REV-C</x:v>
      </x:c>
      <x:c r="B22" s="24" t="str">
        <x:v>Option B</x:v>
      </x:c>
      <x:c r="C22" s="24" t="n">
        <x:v>140</x:v>
      </x:c>
      <x:c r="D22" s="24" t="n">
        <x:v>51</x:v>
      </x:c>
      <x:c r="E22" s="24" t="n">
        <x:v>2.8</x:v>
      </x:c>
      <x:c r="F22" s="24" t="n">
        <x:v>74</x:v>
      </x:c>
      <x:c r="G22" s="24" t="n">
        <x:v>100</x:v>
      </x:c>
      <x:c r="H22" s="24" t="str">
        <x:v>Approved Rev C point</x:v>
      </x:c>
    </x:row>
    <x:row r="23">
      <x:c r="A23" s="24" t="str">
        <x:v>PC-OPT-B-REV-C</x:v>
      </x:c>
      <x:c r="B23" s="24" t="str">
        <x:v>Option B</x:v>
      </x:c>
      <x:c r="C23" s="24" t="n">
        <x:v>160</x:v>
      </x:c>
      <x:c r="D23" s="24" t="n">
        <x:v>46.2</x:v>
      </x:c>
      <x:c r="E23" s="24" t="n">
        <x:v>3.3</x:v>
      </x:c>
      <x:c r="F23" s="24" t="n">
        <x:v>68</x:v>
      </x:c>
      <x:c r="G23" s="24" t="n">
        <x:v>100</x:v>
      </x:c>
      <x:c r="H23" s="24" t="str">
        <x:v>Approved Rev C point</x:v>
      </x:c>
    </x:row>
    <x:row r="24">
      <x:c r="A24" s="24" t="str">
        <x:v>PC-OPT-C-REV-C</x:v>
      </x:c>
      <x:c r="B24" s="24" t="str">
        <x:v>Option C</x:v>
      </x:c>
      <x:c r="C24" s="24" t="n">
        <x:v>0</x:v>
      </x:c>
      <x:c r="D24" s="24" t="n">
        <x:v>71</x:v>
      </x:c>
      <x:c r="E24" s="24" t="n">
        <x:v>2.3</x:v>
      </x:c>
      <x:c r="F24" s="24" t="n">
        <x:v>0</x:v>
      </x:c>
      <x:c r="G24" s="24" t="n">
        <x:v>100</x:v>
      </x:c>
      <x:c r="H24" s="24" t="str">
        <x:v>Approved Rev C point</x:v>
      </x:c>
    </x:row>
    <x:row r="25">
      <x:c r="A25" s="24" t="str">
        <x:v>PC-OPT-C-REV-C</x:v>
      </x:c>
      <x:c r="B25" s="24" t="str">
        <x:v>Option C</x:v>
      </x:c>
      <x:c r="C25" s="24" t="n">
        <x:v>40</x:v>
      </x:c>
      <x:c r="D25" s="24" t="n">
        <x:v>68.5</x:v>
      </x:c>
      <x:c r="E25" s="24" t="n">
        <x:v>2.5</x:v>
      </x:c>
      <x:c r="F25" s="24" t="n">
        <x:v>68</x:v>
      </x:c>
      <x:c r="G25" s="24" t="n">
        <x:v>100</x:v>
      </x:c>
      <x:c r="H25" s="24" t="str">
        <x:v>Approved Rev C point</x:v>
      </x:c>
    </x:row>
    <x:row r="26">
      <x:c r="A26" s="24" t="str">
        <x:v>PC-OPT-C-REV-C</x:v>
      </x:c>
      <x:c r="B26" s="24" t="str">
        <x:v>Option C</x:v>
      </x:c>
      <x:c r="C26" s="24" t="n">
        <x:v>80</x:v>
      </x:c>
      <x:c r="D26" s="24" t="n">
        <x:v>63.8</x:v>
      </x:c>
      <x:c r="E26" s="24" t="n">
        <x:v>2.8</x:v>
      </x:c>
      <x:c r="F26" s="24" t="n">
        <x:v>76</x:v>
      </x:c>
      <x:c r="G26" s="24" t="n">
        <x:v>100</x:v>
      </x:c>
      <x:c r="H26" s="24" t="str">
        <x:v>Approved Rev C point</x:v>
      </x:c>
    </x:row>
    <x:row r="27">
      <x:c r="A27" s="24" t="str">
        <x:v>PC-OPT-C-REV-C</x:v>
      </x:c>
      <x:c r="B27" s="24" t="str">
        <x:v>Option C</x:v>
      </x:c>
      <x:c r="C27" s="24" t="n">
        <x:v>100</x:v>
      </x:c>
      <x:c r="D27" s="24" t="n">
        <x:v>60.2</x:v>
      </x:c>
      <x:c r="E27" s="24" t="n">
        <x:v>3.1</x:v>
      </x:c>
      <x:c r="F27" s="24" t="n">
        <x:v>77</x:v>
      </x:c>
      <x:c r="G27" s="24" t="n">
        <x:v>100</x:v>
      </x:c>
      <x:c r="H27" s="24" t="str">
        <x:v>Approved Rev C point</x:v>
      </x:c>
    </x:row>
    <x:row r="28">
      <x:c r="A28" s="24" t="str">
        <x:v>PC-OPT-C-REV-C</x:v>
      </x:c>
      <x:c r="B28" s="24" t="str">
        <x:v>Option C</x:v>
      </x:c>
      <x:c r="C28" s="24" t="n">
        <x:v>120</x:v>
      </x:c>
      <x:c r="D28" s="24" t="n">
        <x:v>56.1</x:v>
      </x:c>
      <x:c r="E28" s="24" t="n">
        <x:v>3.4</x:v>
      </x:c>
      <x:c r="F28" s="24" t="n">
        <x:v>75</x:v>
      </x:c>
      <x:c r="G28" s="24" t="n">
        <x:v>100</x:v>
      </x:c>
      <x:c r="H28" s="24" t="str">
        <x:v>Approved Rev C point</x:v>
      </x:c>
    </x:row>
    <x:row r="29">
      <x:c r="A29" s="24" t="str">
        <x:v>PC-OPT-C-REV-C</x:v>
      </x:c>
      <x:c r="B29" s="24" t="str">
        <x:v>Option C</x:v>
      </x:c>
      <x:c r="C29" s="24" t="n">
        <x:v>140</x:v>
      </x:c>
      <x:c r="D29" s="24" t="n">
        <x:v>51.5</x:v>
      </x:c>
      <x:c r="E29" s="24" t="n">
        <x:v>3.9</x:v>
      </x:c>
      <x:c r="F29" s="24" t="n">
        <x:v>70</x:v>
      </x:c>
      <x:c r="G29" s="24" t="n">
        <x:v>100</x:v>
      </x:c>
      <x:c r="H29" s="24" t="str">
        <x:v>Approved Rev C point</x:v>
      </x:c>
    </x:row>
    <x:row r="30">
      <x:c r="A30" s="24" t="str">
        <x:v>PC-OPT-C-REV-C</x:v>
      </x:c>
      <x:c r="B30" s="24" t="str">
        <x:v>Option C</x:v>
      </x:c>
      <x:c r="C30" s="24" t="n">
        <x:v>160</x:v>
      </x:c>
      <x:c r="D30" s="24" t="n">
        <x:v>46</x:v>
      </x:c>
      <x:c r="E30" s="24" t="n">
        <x:v>4.5</x:v>
      </x:c>
      <x:c r="F30" s="24" t="n">
        <x:v>64</x:v>
      </x:c>
      <x:c r="G30" s="24" t="n">
        <x:v>100</x:v>
      </x:c>
      <x:c r="H30" s="24" t="str">
        <x:v>Approved Rev C point</x:v>
      </x:c>
    </x:row>
    <x:row r="31">
      <x:c r="A31" s="24" t="str">
        <x:v>PC-OPT-D-REV-C</x:v>
      </x:c>
      <x:c r="B31" s="24" t="str">
        <x:v>Option D</x:v>
      </x:c>
      <x:c r="C31" s="24" t="n">
        <x:v>0</x:v>
      </x:c>
      <x:c r="D31" s="24" t="n">
        <x:v>74</x:v>
      </x:c>
      <x:c r="E31" s="24" t="n">
        <x:v>1.8</x:v>
      </x:c>
      <x:c r="F31" s="24" t="n">
        <x:v>0</x:v>
      </x:c>
      <x:c r="G31" s="24" t="n">
        <x:v>100</x:v>
      </x:c>
      <x:c r="H31" s="24" t="str">
        <x:v>Approved Rev C point</x:v>
      </x:c>
    </x:row>
    <x:row r="32">
      <x:c r="A32" s="24" t="str">
        <x:v>PC-OPT-D-REV-C</x:v>
      </x:c>
      <x:c r="B32" s="24" t="str">
        <x:v>Option D</x:v>
      </x:c>
      <x:c r="C32" s="24" t="n">
        <x:v>40</x:v>
      </x:c>
      <x:c r="D32" s="24" t="n">
        <x:v>71.5</x:v>
      </x:c>
      <x:c r="E32" s="24" t="n">
        <x:v>1.9</x:v>
      </x:c>
      <x:c r="F32" s="24" t="n">
        <x:v>72</x:v>
      </x:c>
      <x:c r="G32" s="24" t="n">
        <x:v>100</x:v>
      </x:c>
      <x:c r="H32" s="24" t="str">
        <x:v>Approved Rev C point</x:v>
      </x:c>
    </x:row>
    <x:row r="33">
      <x:c r="A33" s="24" t="str">
        <x:v>PC-OPT-D-REV-C</x:v>
      </x:c>
      <x:c r="B33" s="24" t="str">
        <x:v>Option D</x:v>
      </x:c>
      <x:c r="C33" s="24" t="n">
        <x:v>80</x:v>
      </x:c>
      <x:c r="D33" s="24" t="n">
        <x:v>66.8</x:v>
      </x:c>
      <x:c r="E33" s="24" t="n">
        <x:v>2.1</x:v>
      </x:c>
      <x:c r="F33" s="24" t="n">
        <x:v>80</x:v>
      </x:c>
      <x:c r="G33" s="24" t="n">
        <x:v>100</x:v>
      </x:c>
      <x:c r="H33" s="24" t="str">
        <x:v>Approved Rev C point</x:v>
      </x:c>
    </x:row>
    <x:row r="34">
      <x:c r="A34" s="24" t="str">
        <x:v>PC-OPT-D-REV-C</x:v>
      </x:c>
      <x:c r="B34" s="24" t="str">
        <x:v>Option D</x:v>
      </x:c>
      <x:c r="C34" s="24" t="n">
        <x:v>100</x:v>
      </x:c>
      <x:c r="D34" s="24" t="n">
        <x:v>63.4</x:v>
      </x:c>
      <x:c r="E34" s="24" t="n">
        <x:v>2.3</x:v>
      </x:c>
      <x:c r="F34" s="24" t="n">
        <x:v>81</x:v>
      </x:c>
      <x:c r="G34" s="24" t="n">
        <x:v>100</x:v>
      </x:c>
      <x:c r="H34" s="24" t="str">
        <x:v>Approved Rev C point</x:v>
      </x:c>
    </x:row>
    <x:row r="35">
      <x:c r="A35" s="24" t="str">
        <x:v>PC-OPT-D-REV-C</x:v>
      </x:c>
      <x:c r="B35" s="24" t="str">
        <x:v>Option D</x:v>
      </x:c>
      <x:c r="C35" s="24" t="n">
        <x:v>120</x:v>
      </x:c>
      <x:c r="D35" s="24" t="n">
        <x:v>60</x:v>
      </x:c>
      <x:c r="E35" s="24" t="n">
        <x:v>2.5</x:v>
      </x:c>
      <x:c r="F35" s="24" t="n">
        <x:v>80</x:v>
      </x:c>
      <x:c r="G35" s="24" t="n">
        <x:v>100</x:v>
      </x:c>
      <x:c r="H35" s="24" t="str">
        <x:v>Approved Rev C point</x:v>
      </x:c>
    </x:row>
    <x:row r="36">
      <x:c r="A36" s="24" t="str">
        <x:v>PC-OPT-D-REV-C</x:v>
      </x:c>
      <x:c r="B36" s="24" t="str">
        <x:v>Option D</x:v>
      </x:c>
      <x:c r="C36" s="24" t="n">
        <x:v>140</x:v>
      </x:c>
      <x:c r="D36" s="24" t="n">
        <x:v>56</x:v>
      </x:c>
      <x:c r="E36" s="24" t="n">
        <x:v>2.8</x:v>
      </x:c>
      <x:c r="F36" s="24" t="n">
        <x:v>77</x:v>
      </x:c>
      <x:c r="G36" s="24" t="n">
        <x:v>100</x:v>
      </x:c>
      <x:c r="H36" s="24" t="str">
        <x:v>Approved Rev C point</x:v>
      </x:c>
    </x:row>
    <x:row r="37">
      <x:c r="A37" s="24" t="str">
        <x:v>PC-OPT-D-REV-C</x:v>
      </x:c>
      <x:c r="B37" s="24" t="str">
        <x:v>Option D</x:v>
      </x:c>
      <x:c r="C37" s="24" t="n">
        <x:v>160</x:v>
      </x:c>
      <x:c r="D37" s="24" t="n">
        <x:v>51.5</x:v>
      </x:c>
      <x:c r="E37" s="24" t="n">
        <x:v>3.2</x:v>
      </x:c>
      <x:c r="F37" s="24" t="n">
        <x:v>72</x:v>
      </x:c>
      <x:c r="G37" s="24" t="n">
        <x:v>100</x:v>
      </x:c>
      <x:c r="H37" s="24" t="str">
        <x:v>Approved Rev C point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c1c939d8ec742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6" hidden="0" customWidth="1"/>
    <x:col min="4" max="4" width="12" hidden="0" customWidth="1"/>
    <x:col min="5" max="5" width="12" hidden="0" customWidth="1"/>
    <x:col min="6" max="6" width="64" hidden="0" customWidth="1"/>
  </x:cols>
  <x:sheetData>
    <x:row r="1" ht="24" customHeight="1">
      <x:c r="A1" s="5" t="str">
        <x:v>Superseded Curve Data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These brochure values intentionally conflict with the signed addendum and must be rejected.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Curve record</x:v>
      </x:c>
      <x:c r="B4" s="18" t="str">
        <x:v>Configuration</x:v>
      </x:c>
      <x:c r="C4" s="18" t="str">
        <x:v>Flow_m3_per_h</x:v>
      </x:c>
      <x:c r="D4" s="18" t="str">
        <x:v>Head_m</x:v>
      </x:c>
      <x:c r="E4" s="18" t="str">
        <x:v>NPSHr_m</x:v>
      </x:c>
      <x:c r="F4" s="18" t="str">
        <x:v>Why not authoritative</x:v>
      </x:c>
    </x:row>
    <x:row r="5">
      <x:c r="A5" s="26" t="str">
        <x:v>PC-CURRENT-REV-B</x:v>
      </x:c>
      <x:c r="B5" s="26" t="str">
        <x:v>Current P-101 + P-102</x:v>
      </x:c>
      <x:c r="C5" s="26" t="n">
        <x:v>120</x:v>
      </x:c>
      <x:c r="D5" s="26" t="n">
        <x:v>50.5</x:v>
      </x:c>
      <x:c r="E5" s="26" t="n">
        <x:v>2.3</x:v>
      </x:c>
      <x:c r="F5" s="26" t="str">
        <x:v>Legacy brochure predates installed impeller verification and P-102 VFD limit.</x:v>
      </x:c>
    </x:row>
    <x:row r="6">
      <x:c r="A6" s="26" t="str">
        <x:v>PC-OPT-C-DRAFT-A</x:v>
      </x:c>
      <x:c r="B6" s="26" t="str">
        <x:v>Option C</x:v>
      </x:c>
      <x:c r="C6" s="26" t="n">
        <x:v>120</x:v>
      </x:c>
      <x:c r="D6" s="26" t="n">
        <x:v>58.8</x:v>
      </x:c>
      <x:c r="E6" s="26" t="n">
        <x:v>2.8</x:v>
      </x:c>
      <x:c r="F6" s="26" t="str">
        <x:v>Draft quotation used a different impeller and assumes P-103 is serviceable.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4afa98f5a1945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2" hidden="0" customWidth="1"/>
    <x:col min="3" max="3" width="62" hidden="0" customWidth="1"/>
    <x:col min="4" max="4" width="20" hidden="0" customWidth="1"/>
  </x:cols>
  <x:sheetData>
    <x:row r="1" ht="24" customHeight="1">
      <x:c r="A1" s="5" t="str">
        <x:v>Signed Vendor Addendum VA-2026-17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Commercial addendum controlling which pump-curve evidence is accepted.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Item</x:v>
      </x:c>
      <x:c r="B4" s="18" t="str">
        <x:v>Approved statement</x:v>
      </x:c>
      <x:c r="C4" s="18" t="str">
        <x:v>Implication for assessment</x:v>
      </x:c>
      <x:c r="D4" s="18" t="str">
        <x:v>Status</x:v>
      </x:c>
    </x:row>
    <x:row r="5">
      <x:c r="A5" s="24" t="str">
        <x:v>Curve authority</x:v>
      </x:c>
      <x:c r="B5" s="24" t="str">
        <x:v>Revision C curves attached to VA-2026-17 replace all earlier brochure and quotation curves.</x:v>
      </x:c>
      <x:c r="C5" s="24" t="str">
        <x:v>Use PC-CURRENT-REV-C and PC-OPT-*-REV-C only.</x:v>
      </x:c>
      <x:c r="D5" s="24" t="str">
        <x:v>SIGNED</x:v>
      </x:c>
    </x:row>
    <x:row r="6">
      <x:c r="A6" s="24" t="str">
        <x:v>Option B VFD</x:v>
      </x:c>
      <x:c r="B6" s="24" t="str">
        <x:v>Option B requires a new 90 kW VFD; existing P-102 VFD cannot be reused.</x:v>
      </x:c>
      <x:c r="C6" s="24" t="str">
        <x:v>Treat harmonic review and final VFD sizing confirmation as pre-PO open items.</x:v>
      </x:c>
      <x:c r="D6" s="24" t="str">
        <x:v>SIGNED</x:v>
      </x:c>
    </x:row>
    <x:row r="7">
      <x:c r="A7" s="24" t="str">
        <x:v>Option B foundation loads</x:v>
      </x:c>
      <x:c r="B7" s="24" t="str">
        <x:v>Final skid reaction loads will be issued after order-specific baseplate selection.</x:v>
      </x:c>
      <x:c r="C7" s="24" t="str">
        <x:v>Do not assume foundation adequacy; record an open item.</x:v>
      </x:c>
      <x:c r="D7" s="24" t="str">
        <x:v>MISSING BEFORE PO</x:v>
      </x:c>
    </x:row>
    <x:row r="8">
      <x:c r="A8" s="24" t="str">
        <x:v>Option C availability</x:v>
      </x:c>
      <x:c r="B8" s="24" t="str">
        <x:v>Option C performance assumes P-103 is available for duty.</x:v>
      </x:c>
      <x:c r="C8" s="24" t="str">
        <x:v>Resolve P-103 availability from site maintenance control records.</x:v>
      </x:c>
      <x:c r="D8" s="24" t="str">
        <x:v>SIGNED</x:v>
      </x:c>
    </x:row>
    <x:row r="9">
      <x:c r="A9" s="24" t="str">
        <x:v>Option D footprint</x:v>
      </x:c>
      <x:c r="B9" s="24" t="str">
        <x:v>Packaged-set GA drawing is excluded from budget quotation.</x:v>
      </x:c>
      <x:c r="C9" s="24" t="str">
        <x:v>Record footprint and access confirmation as an open item; budget screening still applies.</x:v>
      </x:c>
      <x:c r="D9" s="24" t="str">
        <x:v>MISSING BEFORE PO</x:v>
      </x:c>
    </x:row>
  </x:sheetData>
  <x:mergeCells>
    <x:mergeCell ref="A1:H1"/>
    <x:mergeCell ref="A2:H2"/>
  </x:mergeCells>
  <x:conditionalFormatting sqref="A5:D9">
    <x:cfRule type="expression" dxfId="2" priority="1">
      <x:formula>$D5="MISSING BEFORE PO"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b381734deb416d"/>
  </x:tableParts>
</x:worksheet>
</file>